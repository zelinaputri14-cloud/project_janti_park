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FINAL\"/>
    </mc:Choice>
  </mc:AlternateContent>
  <xr:revisionPtr revIDLastSave="0" documentId="13_ncr:1_{E7723880-0A7C-428A-ACB8-3014FFCB82AB}" xr6:coauthVersionLast="47" xr6:coauthVersionMax="47" xr10:uidLastSave="{00000000-0000-0000-0000-000000000000}"/>
  <bookViews>
    <workbookView xWindow="-110" yWindow="-110" windowWidth="19420" windowHeight="10300" activeTab="2" xr2:uid="{AF77E6C7-C511-4645-ABC0-BC94DF54669A}"/>
  </bookViews>
  <sheets>
    <sheet name="2023" sheetId="1" r:id="rId1"/>
    <sheet name="2024" sheetId="2" r:id="rId2"/>
    <sheet name="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" l="1"/>
  <c r="D21" i="2"/>
  <c r="D20" i="2"/>
  <c r="D18" i="2"/>
  <c r="D14" i="2"/>
  <c r="D13" i="2"/>
  <c r="D12" i="2"/>
  <c r="D11" i="2"/>
  <c r="D10" i="2"/>
  <c r="T18" i="2"/>
  <c r="T14" i="2"/>
  <c r="T8" i="2"/>
  <c r="R31" i="2"/>
  <c r="L4" i="2"/>
  <c r="H30" i="2"/>
  <c r="H23" i="2"/>
  <c r="H22" i="2"/>
  <c r="H21" i="2"/>
  <c r="H20" i="2"/>
  <c r="H19" i="2"/>
  <c r="H18" i="2"/>
  <c r="H17" i="2"/>
  <c r="H16" i="2"/>
  <c r="H15" i="2"/>
  <c r="H14" i="2"/>
  <c r="H13" i="2"/>
  <c r="F12" i="2"/>
  <c r="F11" i="2"/>
  <c r="F8" i="2"/>
  <c r="F5" i="2"/>
  <c r="F4" i="2"/>
  <c r="B31" i="2"/>
  <c r="B30" i="2"/>
  <c r="B24" i="2"/>
  <c r="B17" i="2"/>
  <c r="B10" i="2"/>
  <c r="B9" i="2"/>
  <c r="B4" i="2"/>
  <c r="X33" i="1" l="1"/>
  <c r="X32" i="1"/>
  <c r="X31" i="1"/>
  <c r="X30" i="1"/>
  <c r="X28" i="1"/>
  <c r="X27" i="1"/>
  <c r="X26" i="1"/>
  <c r="X25" i="1"/>
  <c r="X23" i="1"/>
  <c r="X20" i="1"/>
  <c r="V25" i="1"/>
  <c r="V21" i="1"/>
  <c r="V14" i="1"/>
  <c r="V13" i="1"/>
  <c r="T31" i="1"/>
  <c r="T30" i="1"/>
  <c r="T12" i="1"/>
  <c r="T10" i="1"/>
  <c r="T3" i="1"/>
  <c r="R31" i="1"/>
  <c r="R30" i="1"/>
  <c r="R26" i="1"/>
  <c r="R25" i="1"/>
  <c r="R19" i="1"/>
  <c r="R17" i="1"/>
  <c r="R12" i="1"/>
  <c r="R9" i="1"/>
  <c r="R6" i="1"/>
  <c r="R5" i="1"/>
  <c r="R4" i="1"/>
  <c r="P29" i="1"/>
  <c r="P28" i="1"/>
  <c r="P22" i="1"/>
  <c r="P21" i="1"/>
  <c r="P19" i="1"/>
  <c r="P15" i="1"/>
  <c r="P14" i="1"/>
  <c r="P8" i="1"/>
  <c r="P5" i="1"/>
  <c r="N21" i="1"/>
  <c r="N18" i="1"/>
  <c r="N17" i="1"/>
  <c r="N15" i="1"/>
  <c r="N11" i="1"/>
  <c r="N9" i="1"/>
  <c r="N4" i="1"/>
  <c r="N3" i="1"/>
  <c r="L26" i="1"/>
  <c r="L21" i="1"/>
  <c r="L15" i="1"/>
  <c r="L10" i="1"/>
  <c r="L9" i="1"/>
  <c r="L3" i="1"/>
  <c r="J31" i="1"/>
  <c r="J21" i="1"/>
</calcChain>
</file>

<file path=xl/sharedStrings.xml><?xml version="1.0" encoding="utf-8"?>
<sst xmlns="http://schemas.openxmlformats.org/spreadsheetml/2006/main" count="72" uniqueCount="2">
  <si>
    <t>tanggal</t>
  </si>
  <si>
    <t>jumlah_pengunjung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</si>
</sst>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2"/>
      <color rgb="FF000000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EFEFEF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5" tint="0.39997558519241921"/>
        <bgColor rgb="FFFF0000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rgb="FF00FF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3" fontId="2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0" fontId="0" fillId="3" borderId="0" xfId="0" applyFill="1"/>
    <xf numFmtId="3" fontId="3" fillId="2" borderId="3" xfId="0" applyNumberFormat="1" applyFont="1" applyFill="1" applyBorder="1" applyAlignment="1">
      <alignment vertical="center"/>
    </xf>
    <xf numFmtId="0" fontId="0" fillId="3" borderId="0" xfId="0" applyFill="1" applyBorder="1"/>
    <xf numFmtId="3" fontId="3" fillId="4" borderId="0" xfId="0" applyNumberFormat="1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vertical="center"/>
    </xf>
    <xf numFmtId="3" fontId="5" fillId="5" borderId="6" xfId="0" applyNumberFormat="1" applyFont="1" applyFill="1" applyBorder="1" applyAlignment="1">
      <alignment horizontal="right"/>
    </xf>
    <xf numFmtId="3" fontId="5" fillId="5" borderId="6" xfId="0" applyNumberFormat="1" applyFont="1" applyFill="1" applyBorder="1" applyAlignment="1">
      <alignment horizontal="right" vertical="center"/>
    </xf>
    <xf numFmtId="3" fontId="4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/>
    </xf>
    <xf numFmtId="0" fontId="0" fillId="0" borderId="0" xfId="0" applyFill="1"/>
    <xf numFmtId="14" fontId="4" fillId="6" borderId="4" xfId="0" applyNumberFormat="1" applyFont="1" applyFill="1" applyBorder="1" applyAlignment="1">
      <alignment vertical="center"/>
    </xf>
    <xf numFmtId="14" fontId="4" fillId="6" borderId="1" xfId="0" applyNumberFormat="1" applyFont="1" applyFill="1" applyBorder="1" applyAlignment="1">
      <alignment vertical="center"/>
    </xf>
    <xf numFmtId="14" fontId="6" fillId="6" borderId="1" xfId="0" applyNumberFormat="1" applyFont="1" applyFill="1" applyBorder="1" applyAlignment="1">
      <alignment vertical="center"/>
    </xf>
    <xf numFmtId="14" fontId="4" fillId="7" borderId="2" xfId="0" applyNumberFormat="1" applyFont="1" applyFill="1" applyBorder="1" applyAlignment="1">
      <alignment vertical="center"/>
    </xf>
    <xf numFmtId="14" fontId="4" fillId="8" borderId="1" xfId="0" applyNumberFormat="1" applyFont="1" applyFill="1" applyBorder="1" applyAlignment="1">
      <alignment vertical="center"/>
    </xf>
    <xf numFmtId="14" fontId="4" fillId="9" borderId="1" xfId="0" applyNumberFormat="1" applyFont="1" applyFill="1" applyBorder="1" applyAlignment="1">
      <alignment vertical="center"/>
    </xf>
    <xf numFmtId="14" fontId="7" fillId="6" borderId="5" xfId="0" applyNumberFormat="1" applyFont="1" applyFill="1" applyBorder="1" applyAlignment="1">
      <alignment horizontal="right"/>
    </xf>
    <xf numFmtId="14" fontId="7" fillId="10" borderId="5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0" fontId="0" fillId="0" borderId="1" xfId="0" applyBorder="1"/>
    <xf numFmtId="3" fontId="5" fillId="0" borderId="1" xfId="0" applyNumberFormat="1" applyFont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vertical="center"/>
    </xf>
    <xf numFmtId="3" fontId="9" fillId="2" borderId="1" xfId="0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horizontal="right" vertical="center"/>
    </xf>
    <xf numFmtId="3" fontId="9" fillId="2" borderId="1" xfId="0" applyNumberFormat="1" applyFont="1" applyFill="1" applyBorder="1" applyAlignment="1">
      <alignment vertical="center"/>
    </xf>
    <xf numFmtId="14" fontId="5" fillId="10" borderId="1" xfId="0" applyNumberFormat="1" applyFont="1" applyFill="1" applyBorder="1" applyAlignment="1">
      <alignment horizontal="right" vertical="center"/>
    </xf>
    <xf numFmtId="14" fontId="5" fillId="8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3" fontId="5" fillId="0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14" fontId="5" fillId="6" borderId="1" xfId="0" applyNumberFormat="1" applyFont="1" applyFill="1" applyBorder="1" applyAlignment="1">
      <alignment horizontal="right" vertical="center"/>
    </xf>
    <xf numFmtId="14" fontId="2" fillId="10" borderId="1" xfId="0" applyNumberFormat="1" applyFont="1" applyFill="1" applyBorder="1" applyAlignment="1">
      <alignment horizontal="right" vertical="center"/>
    </xf>
    <xf numFmtId="14" fontId="2" fillId="9" borderId="1" xfId="0" applyNumberFormat="1" applyFont="1" applyFill="1" applyBorder="1" applyAlignment="1">
      <alignment horizontal="right" vertical="center"/>
    </xf>
    <xf numFmtId="14" fontId="8" fillId="10" borderId="1" xfId="0" applyNumberFormat="1" applyFont="1" applyFill="1" applyBorder="1" applyAlignment="1">
      <alignment horizontal="right" vertical="center"/>
    </xf>
    <xf numFmtId="14" fontId="8" fillId="11" borderId="1" xfId="0" applyNumberFormat="1" applyFont="1" applyFill="1" applyBorder="1" applyAlignment="1">
      <alignment horizontal="right" vertical="center"/>
    </xf>
    <xf numFmtId="3" fontId="9" fillId="0" borderId="1" xfId="0" applyNumberFormat="1" applyFont="1" applyFill="1" applyBorder="1" applyAlignment="1">
      <alignment horizontal="right" vertical="center"/>
    </xf>
    <xf numFmtId="14" fontId="8" fillId="9" borderId="1" xfId="0" applyNumberFormat="1" applyFont="1" applyFill="1" applyBorder="1" applyAlignment="1">
      <alignment horizontal="right" vertical="center"/>
    </xf>
    <xf numFmtId="14" fontId="8" fillId="8" borderId="1" xfId="0" applyNumberFormat="1" applyFont="1" applyFill="1" applyBorder="1" applyAlignment="1">
      <alignment horizontal="right" vertical="center"/>
    </xf>
    <xf numFmtId="14" fontId="10" fillId="8" borderId="1" xfId="0" applyNumberFormat="1" applyFont="1" applyFill="1" applyBorder="1" applyAlignment="1">
      <alignment horizontal="right" vertical="center"/>
    </xf>
    <xf numFmtId="14" fontId="10" fillId="9" borderId="1" xfId="0" applyNumberFormat="1" applyFont="1" applyFill="1" applyBorder="1" applyAlignment="1">
      <alignment horizontal="right" vertical="center"/>
    </xf>
    <xf numFmtId="14" fontId="10" fillId="6" borderId="1" xfId="0" applyNumberFormat="1" applyFont="1" applyFill="1" applyBorder="1" applyAlignment="1">
      <alignment horizontal="right" vertical="center"/>
    </xf>
    <xf numFmtId="14" fontId="10" fillId="12" borderId="1" xfId="0" applyNumberFormat="1" applyFont="1" applyFill="1" applyBorder="1" applyAlignment="1">
      <alignment horizontal="right" vertical="center"/>
    </xf>
    <xf numFmtId="3" fontId="9" fillId="0" borderId="1" xfId="0" applyNumberFormat="1" applyFont="1" applyFill="1" applyBorder="1" applyAlignment="1">
      <alignment vertical="center"/>
    </xf>
    <xf numFmtId="14" fontId="10" fillId="9" borderId="1" xfId="0" applyNumberFormat="1" applyFont="1" applyFill="1" applyBorder="1" applyAlignment="1">
      <alignment horizontal="center" vertical="center"/>
    </xf>
    <xf numFmtId="14" fontId="10" fillId="8" borderId="1" xfId="0" applyNumberFormat="1" applyFont="1" applyFill="1" applyBorder="1" applyAlignment="1">
      <alignment horizontal="center" vertical="center"/>
    </xf>
    <xf numFmtId="165" fontId="12" fillId="0" borderId="4" xfId="1" applyNumberFormat="1" applyFont="1" applyFill="1" applyBorder="1" applyAlignment="1">
      <alignment horizontal="right" vertical="center"/>
    </xf>
    <xf numFmtId="165" fontId="12" fillId="0" borderId="8" xfId="1" applyNumberFormat="1" applyFont="1" applyFill="1" applyBorder="1" applyAlignment="1">
      <alignment horizontal="right" vertical="center"/>
    </xf>
    <xf numFmtId="165" fontId="12" fillId="0" borderId="1" xfId="1" applyNumberFormat="1" applyFont="1" applyFill="1" applyBorder="1" applyAlignment="1">
      <alignment horizontal="right" vertical="center"/>
    </xf>
    <xf numFmtId="3" fontId="13" fillId="0" borderId="1" xfId="0" applyNumberFormat="1" applyFont="1" applyFill="1" applyBorder="1" applyAlignment="1">
      <alignment horizontal="right" vertical="center"/>
    </xf>
    <xf numFmtId="3" fontId="12" fillId="0" borderId="4" xfId="0" applyNumberFormat="1" applyFont="1" applyFill="1" applyBorder="1" applyAlignment="1">
      <alignment horizontal="right" vertical="center"/>
    </xf>
    <xf numFmtId="3" fontId="12" fillId="0" borderId="1" xfId="0" applyNumberFormat="1" applyFont="1" applyFill="1" applyBorder="1" applyAlignment="1">
      <alignment horizontal="right" vertical="center"/>
    </xf>
    <xf numFmtId="3" fontId="12" fillId="0" borderId="5" xfId="0" applyNumberFormat="1" applyFont="1" applyFill="1" applyBorder="1" applyAlignment="1">
      <alignment horizontal="right" vertical="center"/>
    </xf>
    <xf numFmtId="3" fontId="13" fillId="0" borderId="4" xfId="0" applyNumberFormat="1" applyFont="1" applyFill="1" applyBorder="1" applyAlignment="1">
      <alignment horizontal="right" vertical="center"/>
    </xf>
    <xf numFmtId="3" fontId="12" fillId="0" borderId="4" xfId="0" applyNumberFormat="1" applyFont="1" applyFill="1" applyBorder="1" applyAlignment="1">
      <alignment vertical="center"/>
    </xf>
    <xf numFmtId="3" fontId="14" fillId="0" borderId="1" xfId="0" applyNumberFormat="1" applyFont="1" applyFill="1" applyBorder="1" applyAlignment="1">
      <alignment horizontal="right" vertical="center"/>
    </xf>
    <xf numFmtId="3" fontId="7" fillId="0" borderId="6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horizontal="right" vertical="center"/>
    </xf>
    <xf numFmtId="0" fontId="4" fillId="0" borderId="0" xfId="0" applyFont="1" applyFill="1"/>
    <xf numFmtId="0" fontId="11" fillId="0" borderId="5" xfId="0" applyFont="1" applyFill="1" applyBorder="1" applyAlignment="1">
      <alignment horizontal="right" vertical="center"/>
    </xf>
    <xf numFmtId="14" fontId="13" fillId="13" borderId="1" xfId="0" applyNumberFormat="1" applyFont="1" applyFill="1" applyBorder="1" applyAlignment="1">
      <alignment horizontal="right" vertical="center"/>
    </xf>
    <xf numFmtId="14" fontId="11" fillId="13" borderId="5" xfId="0" applyNumberFormat="1" applyFont="1" applyFill="1" applyBorder="1" applyAlignment="1">
      <alignment horizontal="right" vertical="center"/>
    </xf>
    <xf numFmtId="14" fontId="11" fillId="13" borderId="1" xfId="0" applyNumberFormat="1" applyFont="1" applyFill="1" applyBorder="1" applyAlignment="1">
      <alignment horizontal="right" vertical="center"/>
    </xf>
    <xf numFmtId="14" fontId="13" fillId="13" borderId="5" xfId="0" applyNumberFormat="1" applyFont="1" applyFill="1" applyBorder="1" applyAlignment="1">
      <alignment horizontal="right" vertical="center"/>
    </xf>
    <xf numFmtId="164" fontId="11" fillId="13" borderId="5" xfId="1" applyNumberFormat="1" applyFont="1" applyFill="1" applyBorder="1" applyAlignment="1">
      <alignment horizontal="right" vertical="center"/>
    </xf>
    <xf numFmtId="164" fontId="11" fillId="13" borderId="7" xfId="1" applyNumberFormat="1" applyFont="1" applyFill="1" applyBorder="1" applyAlignment="1">
      <alignment horizontal="right" vertical="center"/>
    </xf>
    <xf numFmtId="164" fontId="11" fillId="13" borderId="1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9939-9060-453D-9508-0BEF03C1842E}">
  <dimension ref="A2:X33"/>
  <sheetViews>
    <sheetView zoomScale="62" workbookViewId="0">
      <selection activeCell="A2" sqref="A2"/>
    </sheetView>
  </sheetViews>
  <sheetFormatPr defaultRowHeight="14.5" x14ac:dyDescent="0.35"/>
  <cols>
    <col min="1" max="1" width="12" customWidth="1"/>
    <col min="3" max="3" width="13.1796875" customWidth="1"/>
    <col min="5" max="5" width="12.1796875" customWidth="1"/>
    <col min="7" max="7" width="13.81640625" customWidth="1"/>
    <col min="9" max="9" width="12.81640625" customWidth="1"/>
    <col min="11" max="11" width="12.7265625" customWidth="1"/>
    <col min="13" max="13" width="13" customWidth="1"/>
    <col min="15" max="15" width="13.81640625" customWidth="1"/>
    <col min="17" max="17" width="12.7265625" customWidth="1"/>
    <col min="19" max="19" width="12.81640625" customWidth="1"/>
    <col min="21" max="21" width="13.453125" customWidth="1"/>
    <col min="23" max="23" width="14" customWidth="1"/>
  </cols>
  <sheetData>
    <row r="2" spans="1:24" x14ac:dyDescent="0.3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</row>
    <row r="3" spans="1:24" ht="15.5" x14ac:dyDescent="0.35">
      <c r="A3" s="17">
        <v>44927</v>
      </c>
      <c r="B3" s="1">
        <v>3806</v>
      </c>
      <c r="C3" s="16">
        <v>44958</v>
      </c>
      <c r="D3" s="2">
        <v>464</v>
      </c>
      <c r="E3" s="16">
        <v>44986</v>
      </c>
      <c r="F3" s="4">
        <v>351</v>
      </c>
      <c r="G3" s="18">
        <v>45017</v>
      </c>
      <c r="H3" s="7"/>
      <c r="I3" s="15">
        <v>45047</v>
      </c>
      <c r="J3" s="9">
        <v>2781</v>
      </c>
      <c r="K3" s="16">
        <v>45078</v>
      </c>
      <c r="L3" s="12">
        <f>2929+19</f>
        <v>2948</v>
      </c>
      <c r="M3" s="16">
        <v>45108</v>
      </c>
      <c r="N3" s="3">
        <f>2442+9</f>
        <v>2451</v>
      </c>
      <c r="O3" s="21">
        <v>45139</v>
      </c>
      <c r="P3" s="10">
        <v>95</v>
      </c>
      <c r="Q3" s="22">
        <v>45170</v>
      </c>
      <c r="R3" s="11">
        <v>235</v>
      </c>
      <c r="S3" s="22">
        <v>45200</v>
      </c>
      <c r="T3" s="11">
        <f>2997+27</f>
        <v>3024</v>
      </c>
      <c r="U3" s="22">
        <v>45231</v>
      </c>
      <c r="V3" s="11">
        <v>255</v>
      </c>
      <c r="W3" s="22">
        <v>45261</v>
      </c>
      <c r="X3" s="11">
        <v>158</v>
      </c>
    </row>
    <row r="4" spans="1:24" ht="15.5" x14ac:dyDescent="0.35">
      <c r="A4" s="17">
        <v>44928</v>
      </c>
      <c r="B4" s="1">
        <v>820</v>
      </c>
      <c r="C4" s="16">
        <v>44959</v>
      </c>
      <c r="D4" s="2">
        <v>316</v>
      </c>
      <c r="E4" s="16">
        <v>44987</v>
      </c>
      <c r="F4" s="4">
        <v>360</v>
      </c>
      <c r="G4" s="18">
        <v>45018</v>
      </c>
      <c r="H4" s="8"/>
      <c r="I4" s="15">
        <v>45048</v>
      </c>
      <c r="J4" s="9">
        <v>456</v>
      </c>
      <c r="K4" s="16">
        <v>45079</v>
      </c>
      <c r="L4" s="12">
        <v>272</v>
      </c>
      <c r="M4" s="16">
        <v>45109</v>
      </c>
      <c r="N4" s="3">
        <f>3422+14</f>
        <v>3436</v>
      </c>
      <c r="O4" s="21">
        <v>45140</v>
      </c>
      <c r="P4" s="10">
        <v>178</v>
      </c>
      <c r="Q4" s="22">
        <v>45171</v>
      </c>
      <c r="R4" s="11">
        <f>854+7</f>
        <v>861</v>
      </c>
      <c r="S4" s="22">
        <v>45201</v>
      </c>
      <c r="T4" s="11">
        <v>523</v>
      </c>
      <c r="U4" s="22">
        <v>45232</v>
      </c>
      <c r="V4" s="11">
        <v>456</v>
      </c>
      <c r="W4" s="22">
        <v>45262</v>
      </c>
      <c r="X4" s="11">
        <v>600</v>
      </c>
    </row>
    <row r="5" spans="1:24" ht="15.5" x14ac:dyDescent="0.35">
      <c r="A5" s="17">
        <v>44929</v>
      </c>
      <c r="B5" s="1">
        <v>427</v>
      </c>
      <c r="C5" s="16">
        <v>44960</v>
      </c>
      <c r="D5" s="2">
        <v>151</v>
      </c>
      <c r="E5" s="16">
        <v>44988</v>
      </c>
      <c r="F5" s="4">
        <v>126</v>
      </c>
      <c r="G5" s="18">
        <v>45019</v>
      </c>
      <c r="H5" s="8"/>
      <c r="I5" s="15">
        <v>45049</v>
      </c>
      <c r="J5" s="9">
        <v>406</v>
      </c>
      <c r="K5" s="16">
        <v>45080</v>
      </c>
      <c r="L5" s="12">
        <v>371</v>
      </c>
      <c r="M5" s="16">
        <v>45110</v>
      </c>
      <c r="N5" s="3">
        <v>1778</v>
      </c>
      <c r="O5" s="21">
        <v>45141</v>
      </c>
      <c r="P5" s="10">
        <f>355+6</f>
        <v>361</v>
      </c>
      <c r="Q5" s="22">
        <v>45172</v>
      </c>
      <c r="R5" s="11">
        <f>2886+71</f>
        <v>2957</v>
      </c>
      <c r="S5" s="22">
        <v>45202</v>
      </c>
      <c r="T5" s="11">
        <v>1053</v>
      </c>
      <c r="U5" s="22">
        <v>45233</v>
      </c>
      <c r="V5" s="11">
        <v>236</v>
      </c>
      <c r="W5" s="22">
        <v>45263</v>
      </c>
      <c r="X5" s="11">
        <v>2901</v>
      </c>
    </row>
    <row r="6" spans="1:24" ht="15.5" x14ac:dyDescent="0.35">
      <c r="A6" s="17">
        <v>44930</v>
      </c>
      <c r="B6" s="1">
        <v>532</v>
      </c>
      <c r="C6" s="16">
        <v>44961</v>
      </c>
      <c r="D6" s="2">
        <v>876</v>
      </c>
      <c r="E6" s="16">
        <v>44989</v>
      </c>
      <c r="F6" s="4">
        <v>480</v>
      </c>
      <c r="G6" s="18">
        <v>45020</v>
      </c>
      <c r="H6" s="8"/>
      <c r="I6" s="15">
        <v>45050</v>
      </c>
      <c r="J6" s="9">
        <v>371</v>
      </c>
      <c r="K6" s="16">
        <v>45081</v>
      </c>
      <c r="L6" s="12">
        <v>603</v>
      </c>
      <c r="M6" s="16">
        <v>45111</v>
      </c>
      <c r="N6" s="3">
        <v>1512</v>
      </c>
      <c r="O6" s="21">
        <v>45142</v>
      </c>
      <c r="P6" s="10">
        <v>230</v>
      </c>
      <c r="Q6" s="22">
        <v>45173</v>
      </c>
      <c r="R6" s="11">
        <f>155+6</f>
        <v>161</v>
      </c>
      <c r="S6" s="22">
        <v>45203</v>
      </c>
      <c r="T6" s="11">
        <v>465</v>
      </c>
      <c r="U6" s="22">
        <v>45234</v>
      </c>
      <c r="V6" s="11">
        <v>878</v>
      </c>
      <c r="W6" s="22">
        <v>45264</v>
      </c>
      <c r="X6" s="11">
        <v>426</v>
      </c>
    </row>
    <row r="7" spans="1:24" ht="15.5" x14ac:dyDescent="0.35">
      <c r="A7" s="17">
        <v>44931</v>
      </c>
      <c r="B7" s="1">
        <v>400</v>
      </c>
      <c r="C7" s="16">
        <v>44962</v>
      </c>
      <c r="D7" s="2">
        <v>3025</v>
      </c>
      <c r="E7" s="16">
        <v>44990</v>
      </c>
      <c r="F7" s="4">
        <v>2796</v>
      </c>
      <c r="G7" s="18">
        <v>45021</v>
      </c>
      <c r="H7" s="8"/>
      <c r="I7" s="15">
        <v>45051</v>
      </c>
      <c r="J7" s="9">
        <v>267</v>
      </c>
      <c r="K7" s="16">
        <v>45082</v>
      </c>
      <c r="L7" s="12">
        <v>683</v>
      </c>
      <c r="M7" s="16">
        <v>45112</v>
      </c>
      <c r="N7" s="3"/>
      <c r="O7" s="21">
        <v>45143</v>
      </c>
      <c r="P7" s="10">
        <v>611</v>
      </c>
      <c r="Q7" s="22">
        <v>45174</v>
      </c>
      <c r="R7" s="11">
        <v>201</v>
      </c>
      <c r="S7" s="22">
        <v>45204</v>
      </c>
      <c r="T7" s="11">
        <v>621</v>
      </c>
      <c r="U7" s="22">
        <v>45235</v>
      </c>
      <c r="V7" s="11">
        <v>3532</v>
      </c>
      <c r="W7" s="22">
        <v>45265</v>
      </c>
      <c r="X7" s="11">
        <v>1112</v>
      </c>
    </row>
    <row r="8" spans="1:24" ht="15.5" x14ac:dyDescent="0.35">
      <c r="A8" s="17">
        <v>44932</v>
      </c>
      <c r="B8" s="1">
        <v>320</v>
      </c>
      <c r="C8" s="16">
        <v>44963</v>
      </c>
      <c r="D8" s="2">
        <v>102</v>
      </c>
      <c r="E8" s="16">
        <v>44991</v>
      </c>
      <c r="F8" s="4">
        <v>676</v>
      </c>
      <c r="G8" s="19">
        <v>45022</v>
      </c>
      <c r="H8" s="6">
        <v>79</v>
      </c>
      <c r="I8" s="15">
        <v>45052</v>
      </c>
      <c r="J8" s="9">
        <v>746</v>
      </c>
      <c r="K8" s="16">
        <v>45083</v>
      </c>
      <c r="L8" s="12">
        <v>402</v>
      </c>
      <c r="M8" s="16">
        <v>45113</v>
      </c>
      <c r="N8" s="3">
        <v>1710</v>
      </c>
      <c r="O8" s="21">
        <v>45144</v>
      </c>
      <c r="P8" s="10">
        <f>2758+68</f>
        <v>2826</v>
      </c>
      <c r="Q8" s="22">
        <v>45175</v>
      </c>
      <c r="R8" s="11">
        <v>182</v>
      </c>
      <c r="S8" s="22">
        <v>45205</v>
      </c>
      <c r="T8" s="11">
        <v>288</v>
      </c>
      <c r="U8" s="22">
        <v>45236</v>
      </c>
      <c r="V8" s="11">
        <v>417</v>
      </c>
      <c r="W8" s="22">
        <v>45266</v>
      </c>
      <c r="X8" s="11">
        <v>910</v>
      </c>
    </row>
    <row r="9" spans="1:24" ht="15.5" x14ac:dyDescent="0.35">
      <c r="A9" s="17">
        <v>44933</v>
      </c>
      <c r="B9" s="1">
        <v>1006</v>
      </c>
      <c r="C9" s="16">
        <v>44964</v>
      </c>
      <c r="D9" s="3">
        <v>0</v>
      </c>
      <c r="E9" s="16">
        <v>44992</v>
      </c>
      <c r="F9" s="4">
        <v>1304</v>
      </c>
      <c r="G9" s="20">
        <v>45023</v>
      </c>
      <c r="H9" s="4">
        <v>344</v>
      </c>
      <c r="I9" s="15">
        <v>45053</v>
      </c>
      <c r="J9" s="9">
        <v>3106</v>
      </c>
      <c r="K9" s="16">
        <v>45084</v>
      </c>
      <c r="L9" s="12">
        <f>1712+3</f>
        <v>1715</v>
      </c>
      <c r="M9" s="16">
        <v>45114</v>
      </c>
      <c r="N9" s="3">
        <f>854+12</f>
        <v>866</v>
      </c>
      <c r="O9" s="21">
        <v>45145</v>
      </c>
      <c r="P9" s="10">
        <v>143</v>
      </c>
      <c r="Q9" s="22">
        <v>45176</v>
      </c>
      <c r="R9" s="11">
        <f>423+5</f>
        <v>428</v>
      </c>
      <c r="S9" s="22">
        <v>45206</v>
      </c>
      <c r="T9" s="11">
        <v>810</v>
      </c>
      <c r="U9" s="22">
        <v>45237</v>
      </c>
      <c r="V9" s="11">
        <v>522</v>
      </c>
      <c r="W9" s="22">
        <v>45267</v>
      </c>
      <c r="X9" s="11">
        <v>1040</v>
      </c>
    </row>
    <row r="10" spans="1:24" ht="15.5" x14ac:dyDescent="0.35">
      <c r="A10" s="17">
        <v>44934</v>
      </c>
      <c r="B10" s="1">
        <v>4142</v>
      </c>
      <c r="C10" s="16">
        <v>44965</v>
      </c>
      <c r="D10" s="2">
        <v>388</v>
      </c>
      <c r="E10" s="16">
        <v>44993</v>
      </c>
      <c r="F10" s="4">
        <v>1240</v>
      </c>
      <c r="G10" s="20">
        <v>45024</v>
      </c>
      <c r="H10" s="4">
        <v>73</v>
      </c>
      <c r="I10" s="15">
        <v>45054</v>
      </c>
      <c r="J10" s="9">
        <v>365</v>
      </c>
      <c r="K10" s="16">
        <v>45085</v>
      </c>
      <c r="L10" s="12">
        <f>2928+17</f>
        <v>2945</v>
      </c>
      <c r="M10" s="16">
        <v>45115</v>
      </c>
      <c r="N10" s="3">
        <v>2227</v>
      </c>
      <c r="O10" s="21">
        <v>45146</v>
      </c>
      <c r="P10" s="10">
        <v>252</v>
      </c>
      <c r="Q10" s="22">
        <v>45177</v>
      </c>
      <c r="R10" s="11">
        <v>247</v>
      </c>
      <c r="S10" s="22">
        <v>45207</v>
      </c>
      <c r="T10" s="11">
        <f>3678+16</f>
        <v>3694</v>
      </c>
      <c r="U10" s="22">
        <v>45238</v>
      </c>
      <c r="V10" s="11">
        <v>516</v>
      </c>
      <c r="W10" s="22">
        <v>45268</v>
      </c>
      <c r="X10" s="11">
        <v>536</v>
      </c>
    </row>
    <row r="11" spans="1:24" ht="15.5" x14ac:dyDescent="0.35">
      <c r="A11" s="17">
        <v>44935</v>
      </c>
      <c r="B11" s="1">
        <v>240</v>
      </c>
      <c r="C11" s="16">
        <v>44966</v>
      </c>
      <c r="D11" s="2">
        <v>384</v>
      </c>
      <c r="E11" s="16">
        <v>44994</v>
      </c>
      <c r="F11" s="4">
        <v>1510</v>
      </c>
      <c r="G11" s="20">
        <v>45025</v>
      </c>
      <c r="H11" s="4">
        <v>348</v>
      </c>
      <c r="I11" s="15">
        <v>45055</v>
      </c>
      <c r="J11" s="9">
        <v>495</v>
      </c>
      <c r="K11" s="16">
        <v>45086</v>
      </c>
      <c r="L11" s="12">
        <v>1945</v>
      </c>
      <c r="M11" s="16">
        <v>45116</v>
      </c>
      <c r="N11" s="3">
        <f>3566+23</f>
        <v>3589</v>
      </c>
      <c r="O11" s="21">
        <v>45147</v>
      </c>
      <c r="P11" s="10">
        <v>202</v>
      </c>
      <c r="Q11" s="22">
        <v>45178</v>
      </c>
      <c r="R11" s="11">
        <v>767</v>
      </c>
      <c r="S11" s="22">
        <v>45208</v>
      </c>
      <c r="T11" s="11">
        <v>275</v>
      </c>
      <c r="U11" s="22">
        <v>45239</v>
      </c>
      <c r="V11" s="11">
        <v>372</v>
      </c>
      <c r="W11" s="22">
        <v>45269</v>
      </c>
      <c r="X11" s="11">
        <v>1496</v>
      </c>
    </row>
    <row r="12" spans="1:24" ht="15.5" x14ac:dyDescent="0.35">
      <c r="A12" s="17">
        <v>44936</v>
      </c>
      <c r="B12" s="1">
        <v>202</v>
      </c>
      <c r="C12" s="16">
        <v>44967</v>
      </c>
      <c r="D12" s="2">
        <v>125</v>
      </c>
      <c r="E12" s="16">
        <v>44995</v>
      </c>
      <c r="F12" s="4">
        <v>260</v>
      </c>
      <c r="G12" s="19">
        <v>45026</v>
      </c>
      <c r="H12" s="4">
        <v>11</v>
      </c>
      <c r="I12" s="15">
        <v>45056</v>
      </c>
      <c r="J12" s="9">
        <v>334</v>
      </c>
      <c r="K12" s="16">
        <v>45087</v>
      </c>
      <c r="L12" s="12">
        <v>2216</v>
      </c>
      <c r="M12" s="16">
        <v>45117</v>
      </c>
      <c r="N12" s="13">
        <v>1363</v>
      </c>
      <c r="O12" s="21">
        <v>45148</v>
      </c>
      <c r="P12" s="10">
        <v>416</v>
      </c>
      <c r="Q12" s="22">
        <v>45179</v>
      </c>
      <c r="R12" s="11">
        <f>2812+45</f>
        <v>2857</v>
      </c>
      <c r="S12" s="22">
        <v>45209</v>
      </c>
      <c r="T12" s="11">
        <f>396+7</f>
        <v>403</v>
      </c>
      <c r="U12" s="22">
        <v>45240</v>
      </c>
      <c r="V12" s="11">
        <v>298</v>
      </c>
      <c r="W12" s="22">
        <v>45270</v>
      </c>
      <c r="X12" s="11">
        <v>3614</v>
      </c>
    </row>
    <row r="13" spans="1:24" ht="15.5" x14ac:dyDescent="0.35">
      <c r="A13" s="17">
        <v>44937</v>
      </c>
      <c r="B13" s="1">
        <v>305</v>
      </c>
      <c r="C13" s="16">
        <v>44968</v>
      </c>
      <c r="D13" s="2">
        <v>781</v>
      </c>
      <c r="E13" s="16">
        <v>44996</v>
      </c>
      <c r="F13" s="4">
        <v>1102</v>
      </c>
      <c r="G13" s="19">
        <v>45027</v>
      </c>
      <c r="H13" s="4">
        <v>4</v>
      </c>
      <c r="I13" s="15">
        <v>45057</v>
      </c>
      <c r="J13" s="9">
        <v>543</v>
      </c>
      <c r="K13" s="16">
        <v>45088</v>
      </c>
      <c r="L13" s="12">
        <v>1886</v>
      </c>
      <c r="M13" s="16">
        <v>45118</v>
      </c>
      <c r="N13" s="13">
        <v>1710</v>
      </c>
      <c r="O13" s="21">
        <v>45149</v>
      </c>
      <c r="P13" s="10">
        <v>169</v>
      </c>
      <c r="Q13" s="22">
        <v>45180</v>
      </c>
      <c r="R13" s="11">
        <v>405</v>
      </c>
      <c r="S13" s="22">
        <v>45210</v>
      </c>
      <c r="T13" s="11">
        <v>890</v>
      </c>
      <c r="U13" s="22">
        <v>45241</v>
      </c>
      <c r="V13" s="11">
        <f>1279+43</f>
        <v>1322</v>
      </c>
      <c r="W13" s="22">
        <v>45271</v>
      </c>
      <c r="X13" s="11">
        <v>1555</v>
      </c>
    </row>
    <row r="14" spans="1:24" ht="15.5" x14ac:dyDescent="0.35">
      <c r="A14" s="17">
        <v>44938</v>
      </c>
      <c r="B14" s="1">
        <v>640</v>
      </c>
      <c r="C14" s="16">
        <v>44969</v>
      </c>
      <c r="D14" s="2">
        <v>2896</v>
      </c>
      <c r="E14" s="16">
        <v>44997</v>
      </c>
      <c r="F14" s="4">
        <v>3163</v>
      </c>
      <c r="G14" s="19">
        <v>45028</v>
      </c>
      <c r="H14" s="4">
        <v>30</v>
      </c>
      <c r="I14" s="15">
        <v>45058</v>
      </c>
      <c r="J14" s="9">
        <v>422</v>
      </c>
      <c r="K14" s="16">
        <v>45089</v>
      </c>
      <c r="L14" s="12">
        <v>2261</v>
      </c>
      <c r="M14" s="16">
        <v>45119</v>
      </c>
      <c r="N14" s="13">
        <v>1746</v>
      </c>
      <c r="O14" s="21">
        <v>45150</v>
      </c>
      <c r="P14" s="10">
        <f>817+9</f>
        <v>826</v>
      </c>
      <c r="Q14" s="22">
        <v>45181</v>
      </c>
      <c r="R14" s="11">
        <v>327</v>
      </c>
      <c r="S14" s="22">
        <v>45211</v>
      </c>
      <c r="T14" s="11">
        <v>653</v>
      </c>
      <c r="U14" s="22">
        <v>45242</v>
      </c>
      <c r="V14" s="11">
        <f>3282+33</f>
        <v>3315</v>
      </c>
      <c r="W14" s="22">
        <v>45272</v>
      </c>
      <c r="X14" s="11">
        <v>2088</v>
      </c>
    </row>
    <row r="15" spans="1:24" ht="15.5" x14ac:dyDescent="0.35">
      <c r="A15" s="17">
        <v>44939</v>
      </c>
      <c r="B15" s="1">
        <v>196</v>
      </c>
      <c r="C15" s="16">
        <v>44970</v>
      </c>
      <c r="D15" s="2">
        <v>192</v>
      </c>
      <c r="E15" s="16">
        <v>44998</v>
      </c>
      <c r="F15" s="4">
        <v>248</v>
      </c>
      <c r="G15" s="19">
        <v>45029</v>
      </c>
      <c r="H15" s="4">
        <v>9</v>
      </c>
      <c r="I15" s="15">
        <v>45059</v>
      </c>
      <c r="J15" s="9">
        <v>657</v>
      </c>
      <c r="K15" s="16">
        <v>45090</v>
      </c>
      <c r="L15" s="12">
        <f>5360000/5000</f>
        <v>1072</v>
      </c>
      <c r="M15" s="16">
        <v>45120</v>
      </c>
      <c r="N15" s="13">
        <f>1653+15</f>
        <v>1668</v>
      </c>
      <c r="O15" s="21">
        <v>45151</v>
      </c>
      <c r="P15" s="10">
        <f>1509+14</f>
        <v>1523</v>
      </c>
      <c r="Q15" s="22">
        <v>45182</v>
      </c>
      <c r="R15" s="11">
        <v>419</v>
      </c>
      <c r="S15" s="22">
        <v>45212</v>
      </c>
      <c r="T15" s="11">
        <v>280</v>
      </c>
      <c r="U15" s="22">
        <v>45243</v>
      </c>
      <c r="V15" s="11">
        <v>320</v>
      </c>
      <c r="W15" s="22">
        <v>45273</v>
      </c>
      <c r="X15" s="11">
        <v>2690</v>
      </c>
    </row>
    <row r="16" spans="1:24" ht="15.5" x14ac:dyDescent="0.35">
      <c r="A16" s="17">
        <v>44940</v>
      </c>
      <c r="B16" s="1">
        <v>962</v>
      </c>
      <c r="C16" s="16">
        <v>44971</v>
      </c>
      <c r="D16" s="2">
        <v>316</v>
      </c>
      <c r="E16" s="16">
        <v>44999</v>
      </c>
      <c r="F16" s="4">
        <v>1004</v>
      </c>
      <c r="G16" s="19">
        <v>45030</v>
      </c>
      <c r="H16" s="4">
        <v>3</v>
      </c>
      <c r="I16" s="15">
        <v>45060</v>
      </c>
      <c r="J16" s="9">
        <v>2749</v>
      </c>
      <c r="K16" s="16">
        <v>45091</v>
      </c>
      <c r="L16" s="12">
        <v>2437</v>
      </c>
      <c r="M16" s="16">
        <v>45121</v>
      </c>
      <c r="N16" s="3">
        <v>800</v>
      </c>
      <c r="O16" s="21">
        <v>45152</v>
      </c>
      <c r="P16" s="10">
        <v>124</v>
      </c>
      <c r="Q16" s="22">
        <v>45183</v>
      </c>
      <c r="R16" s="11">
        <v>409</v>
      </c>
      <c r="S16" s="22">
        <v>45213</v>
      </c>
      <c r="T16" s="11">
        <v>1100</v>
      </c>
      <c r="U16" s="22">
        <v>45244</v>
      </c>
      <c r="V16" s="11">
        <v>480</v>
      </c>
      <c r="W16" s="22">
        <v>45274</v>
      </c>
      <c r="X16" s="11">
        <v>1909</v>
      </c>
    </row>
    <row r="17" spans="1:24" ht="15.5" x14ac:dyDescent="0.35">
      <c r="A17" s="17">
        <v>44941</v>
      </c>
      <c r="B17" s="1">
        <v>3463</v>
      </c>
      <c r="C17" s="16">
        <v>44972</v>
      </c>
      <c r="D17" s="2">
        <v>325</v>
      </c>
      <c r="E17" s="16">
        <v>45000</v>
      </c>
      <c r="F17" s="4">
        <v>806</v>
      </c>
      <c r="G17" s="20">
        <v>45031</v>
      </c>
      <c r="H17" s="4">
        <v>38</v>
      </c>
      <c r="I17" s="15">
        <v>45061</v>
      </c>
      <c r="J17" s="9">
        <v>350</v>
      </c>
      <c r="K17" s="16">
        <v>45092</v>
      </c>
      <c r="L17" s="12">
        <v>3741</v>
      </c>
      <c r="M17" s="16">
        <v>45122</v>
      </c>
      <c r="N17" s="3">
        <f>1633+26</f>
        <v>1659</v>
      </c>
      <c r="O17" s="21">
        <v>45153</v>
      </c>
      <c r="P17" s="10">
        <v>222</v>
      </c>
      <c r="Q17" s="22">
        <v>45184</v>
      </c>
      <c r="R17" s="11">
        <f>358+3</f>
        <v>361</v>
      </c>
      <c r="S17" s="22">
        <v>45214</v>
      </c>
      <c r="T17" s="11">
        <v>3345</v>
      </c>
      <c r="U17" s="22">
        <v>45245</v>
      </c>
      <c r="V17" s="11">
        <v>610</v>
      </c>
      <c r="W17" s="22">
        <v>45275</v>
      </c>
      <c r="X17" s="11">
        <v>464</v>
      </c>
    </row>
    <row r="18" spans="1:24" ht="15.5" x14ac:dyDescent="0.35">
      <c r="A18" s="17">
        <v>44942</v>
      </c>
      <c r="B18" s="1">
        <v>400</v>
      </c>
      <c r="C18" s="16">
        <v>44973</v>
      </c>
      <c r="D18" s="2">
        <v>210</v>
      </c>
      <c r="E18" s="16">
        <v>45001</v>
      </c>
      <c r="F18" s="4">
        <v>856</v>
      </c>
      <c r="G18" s="20">
        <v>45032</v>
      </c>
      <c r="H18" s="4">
        <v>133</v>
      </c>
      <c r="I18" s="15">
        <v>45062</v>
      </c>
      <c r="J18" s="9">
        <v>319</v>
      </c>
      <c r="K18" s="16">
        <v>45093</v>
      </c>
      <c r="L18" s="12">
        <v>2214</v>
      </c>
      <c r="M18" s="16">
        <v>45123</v>
      </c>
      <c r="N18" s="3">
        <f>2940+11</f>
        <v>2951</v>
      </c>
      <c r="O18" s="21">
        <v>45154</v>
      </c>
      <c r="P18" s="10">
        <v>160</v>
      </c>
      <c r="Q18" s="22">
        <v>45185</v>
      </c>
      <c r="R18" s="11">
        <v>845</v>
      </c>
      <c r="S18" s="22">
        <v>45215</v>
      </c>
      <c r="T18" s="11">
        <v>240</v>
      </c>
      <c r="U18" s="22">
        <v>45246</v>
      </c>
      <c r="V18" s="11">
        <v>726</v>
      </c>
      <c r="W18" s="22">
        <v>45276</v>
      </c>
      <c r="X18" s="11">
        <v>1180</v>
      </c>
    </row>
    <row r="19" spans="1:24" ht="15.5" x14ac:dyDescent="0.35">
      <c r="A19" s="17">
        <v>44943</v>
      </c>
      <c r="B19" s="1">
        <v>401</v>
      </c>
      <c r="C19" s="16">
        <v>44974</v>
      </c>
      <c r="D19" s="2">
        <v>324</v>
      </c>
      <c r="E19" s="16">
        <v>45002</v>
      </c>
      <c r="F19" s="4">
        <v>608</v>
      </c>
      <c r="G19" s="19">
        <v>45033</v>
      </c>
      <c r="H19" s="4">
        <v>37</v>
      </c>
      <c r="I19" s="15">
        <v>45063</v>
      </c>
      <c r="J19" s="9">
        <v>884</v>
      </c>
      <c r="K19" s="16">
        <v>45094</v>
      </c>
      <c r="L19" s="12">
        <v>1872</v>
      </c>
      <c r="M19" s="16">
        <v>45124</v>
      </c>
      <c r="N19" s="3">
        <v>77</v>
      </c>
      <c r="O19" s="21">
        <v>45155</v>
      </c>
      <c r="P19" s="10">
        <f>2198+4</f>
        <v>2202</v>
      </c>
      <c r="Q19" s="22">
        <v>45186</v>
      </c>
      <c r="R19" s="11">
        <f>3272+13</f>
        <v>3285</v>
      </c>
      <c r="S19" s="22">
        <v>45216</v>
      </c>
      <c r="T19" s="11">
        <v>387</v>
      </c>
      <c r="U19" s="22">
        <v>45247</v>
      </c>
      <c r="V19" s="11">
        <v>317</v>
      </c>
      <c r="W19" s="22">
        <v>45277</v>
      </c>
      <c r="X19" s="11">
        <v>4072</v>
      </c>
    </row>
    <row r="20" spans="1:24" ht="15.5" x14ac:dyDescent="0.35">
      <c r="A20" s="17">
        <v>44944</v>
      </c>
      <c r="B20" s="1">
        <v>557</v>
      </c>
      <c r="C20" s="16">
        <v>44975</v>
      </c>
      <c r="D20" s="2">
        <v>2930</v>
      </c>
      <c r="E20" s="16">
        <v>45003</v>
      </c>
      <c r="F20" s="4">
        <v>1368</v>
      </c>
      <c r="G20" s="19">
        <v>45034</v>
      </c>
      <c r="H20" s="4">
        <v>0</v>
      </c>
      <c r="I20" s="15">
        <v>45064</v>
      </c>
      <c r="J20" s="9">
        <v>3007</v>
      </c>
      <c r="K20" s="16">
        <v>45095</v>
      </c>
      <c r="L20" s="12">
        <v>2339</v>
      </c>
      <c r="M20" s="16">
        <v>45125</v>
      </c>
      <c r="N20" s="3">
        <v>178</v>
      </c>
      <c r="O20" s="21">
        <v>45156</v>
      </c>
      <c r="P20" s="10">
        <v>283</v>
      </c>
      <c r="Q20" s="22">
        <v>45187</v>
      </c>
      <c r="R20" s="11">
        <v>340</v>
      </c>
      <c r="S20" s="22">
        <v>45217</v>
      </c>
      <c r="T20" s="11">
        <v>592</v>
      </c>
      <c r="U20" s="22">
        <v>45248</v>
      </c>
      <c r="V20" s="11">
        <v>1114</v>
      </c>
      <c r="W20" s="22">
        <v>45278</v>
      </c>
      <c r="X20" s="11">
        <f>1415+11</f>
        <v>1426</v>
      </c>
    </row>
    <row r="21" spans="1:24" ht="15.5" x14ac:dyDescent="0.35">
      <c r="A21" s="17">
        <v>44945</v>
      </c>
      <c r="B21" s="1">
        <v>347</v>
      </c>
      <c r="C21" s="16">
        <v>44976</v>
      </c>
      <c r="D21" s="2">
        <v>2435</v>
      </c>
      <c r="E21" s="16">
        <v>45004</v>
      </c>
      <c r="F21" s="4">
        <v>3240</v>
      </c>
      <c r="G21" s="19">
        <v>45035</v>
      </c>
      <c r="H21" s="4">
        <v>0</v>
      </c>
      <c r="I21" s="15">
        <v>45065</v>
      </c>
      <c r="J21" s="9">
        <f>377+95</f>
        <v>472</v>
      </c>
      <c r="K21" s="16">
        <v>45096</v>
      </c>
      <c r="L21" s="12">
        <f>1638+49</f>
        <v>1687</v>
      </c>
      <c r="M21" s="16">
        <v>45126</v>
      </c>
      <c r="N21" s="3">
        <f>2828+13</f>
        <v>2841</v>
      </c>
      <c r="O21" s="21">
        <v>45157</v>
      </c>
      <c r="P21" s="10">
        <f>506+3</f>
        <v>509</v>
      </c>
      <c r="Q21" s="22">
        <v>45188</v>
      </c>
      <c r="R21" s="11">
        <v>636</v>
      </c>
      <c r="S21" s="22">
        <v>45218</v>
      </c>
      <c r="T21" s="11">
        <v>451</v>
      </c>
      <c r="U21" s="22">
        <v>45249</v>
      </c>
      <c r="V21" s="11">
        <f>3926+24</f>
        <v>3950</v>
      </c>
      <c r="W21" s="22">
        <v>45279</v>
      </c>
      <c r="X21" s="11">
        <v>1887</v>
      </c>
    </row>
    <row r="22" spans="1:24" ht="15.5" x14ac:dyDescent="0.35">
      <c r="A22" s="17">
        <v>44946</v>
      </c>
      <c r="B22" s="1">
        <v>185</v>
      </c>
      <c r="C22" s="16">
        <v>44977</v>
      </c>
      <c r="D22" s="2">
        <v>145</v>
      </c>
      <c r="E22" s="16">
        <v>45005</v>
      </c>
      <c r="F22" s="4">
        <v>510</v>
      </c>
      <c r="G22" s="19">
        <v>45036</v>
      </c>
      <c r="H22" s="4">
        <v>0</v>
      </c>
      <c r="I22" s="15">
        <v>45066</v>
      </c>
      <c r="J22" s="9">
        <v>814</v>
      </c>
      <c r="K22" s="16">
        <v>45097</v>
      </c>
      <c r="L22" s="12">
        <v>670</v>
      </c>
      <c r="M22" s="16">
        <v>45127</v>
      </c>
      <c r="N22" s="3">
        <v>117</v>
      </c>
      <c r="O22" s="21">
        <v>45158</v>
      </c>
      <c r="P22" s="10">
        <f>1897+13</f>
        <v>1910</v>
      </c>
      <c r="Q22" s="22">
        <v>45189</v>
      </c>
      <c r="R22" s="11">
        <v>687</v>
      </c>
      <c r="S22" s="22">
        <v>45219</v>
      </c>
      <c r="T22" s="11">
        <v>268</v>
      </c>
      <c r="U22" s="22">
        <v>45250</v>
      </c>
      <c r="V22" s="11">
        <v>355</v>
      </c>
      <c r="W22" s="22">
        <v>45280</v>
      </c>
      <c r="X22" s="11">
        <v>728</v>
      </c>
    </row>
    <row r="23" spans="1:24" ht="15.5" x14ac:dyDescent="0.35">
      <c r="A23" s="17">
        <v>44947</v>
      </c>
      <c r="B23" s="1">
        <v>680</v>
      </c>
      <c r="C23" s="16">
        <v>44978</v>
      </c>
      <c r="D23" s="2">
        <v>347</v>
      </c>
      <c r="E23" s="16">
        <v>45006</v>
      </c>
      <c r="F23" s="4">
        <v>594</v>
      </c>
      <c r="G23" s="19">
        <v>45037</v>
      </c>
      <c r="H23" s="4">
        <v>0</v>
      </c>
      <c r="I23" s="15">
        <v>45067</v>
      </c>
      <c r="J23" s="9">
        <v>2915</v>
      </c>
      <c r="K23" s="16">
        <v>45098</v>
      </c>
      <c r="L23" s="12">
        <v>1524</v>
      </c>
      <c r="M23" s="16">
        <v>45128</v>
      </c>
      <c r="N23" s="3">
        <v>292</v>
      </c>
      <c r="O23" s="21">
        <v>45159</v>
      </c>
      <c r="P23" s="10">
        <v>105</v>
      </c>
      <c r="Q23" s="22">
        <v>45190</v>
      </c>
      <c r="R23" s="11">
        <v>814</v>
      </c>
      <c r="S23" s="22">
        <v>45220</v>
      </c>
      <c r="T23" s="11">
        <v>1057</v>
      </c>
      <c r="U23" s="22">
        <v>45251</v>
      </c>
      <c r="V23" s="11">
        <v>441</v>
      </c>
      <c r="W23" s="22">
        <v>45281</v>
      </c>
      <c r="X23" s="11">
        <f>1562+63</f>
        <v>1625</v>
      </c>
    </row>
    <row r="24" spans="1:24" ht="15.5" x14ac:dyDescent="0.35">
      <c r="A24" s="17">
        <v>44948</v>
      </c>
      <c r="B24" s="1">
        <v>3712</v>
      </c>
      <c r="C24" s="16">
        <v>44979</v>
      </c>
      <c r="D24" s="2">
        <v>294</v>
      </c>
      <c r="E24" s="16">
        <v>45007</v>
      </c>
      <c r="F24" s="4">
        <v>3151</v>
      </c>
      <c r="G24" s="20">
        <v>45038</v>
      </c>
      <c r="H24" s="4">
        <v>437</v>
      </c>
      <c r="I24" s="15">
        <v>45068</v>
      </c>
      <c r="J24" s="9">
        <v>211</v>
      </c>
      <c r="K24" s="16">
        <v>45099</v>
      </c>
      <c r="L24" s="12">
        <v>3289</v>
      </c>
      <c r="M24" s="16">
        <v>45129</v>
      </c>
      <c r="N24" s="3">
        <v>721</v>
      </c>
      <c r="O24" s="21">
        <v>45160</v>
      </c>
      <c r="P24" s="10">
        <v>147</v>
      </c>
      <c r="Q24" s="22">
        <v>45191</v>
      </c>
      <c r="R24" s="11">
        <v>160</v>
      </c>
      <c r="S24" s="22">
        <v>45221</v>
      </c>
      <c r="T24" s="11">
        <v>3366</v>
      </c>
      <c r="U24" s="22">
        <v>45252</v>
      </c>
      <c r="V24" s="11">
        <v>560</v>
      </c>
      <c r="W24" s="22">
        <v>45282</v>
      </c>
      <c r="X24" s="11">
        <v>847</v>
      </c>
    </row>
    <row r="25" spans="1:24" ht="15.5" x14ac:dyDescent="0.35">
      <c r="A25" s="17">
        <v>44949</v>
      </c>
      <c r="B25" s="1">
        <v>1902</v>
      </c>
      <c r="C25" s="16">
        <v>44980</v>
      </c>
      <c r="D25" s="2">
        <v>498</v>
      </c>
      <c r="E25" s="16">
        <v>45008</v>
      </c>
      <c r="F25" s="5"/>
      <c r="G25" s="20">
        <v>45039</v>
      </c>
      <c r="H25" s="4">
        <v>2545</v>
      </c>
      <c r="I25" s="15">
        <v>45069</v>
      </c>
      <c r="J25" s="9">
        <v>543</v>
      </c>
      <c r="K25" s="16">
        <v>45100</v>
      </c>
      <c r="L25" s="12">
        <v>2074</v>
      </c>
      <c r="M25" s="16">
        <v>45130</v>
      </c>
      <c r="N25" s="3">
        <v>3132</v>
      </c>
      <c r="O25" s="21">
        <v>45161</v>
      </c>
      <c r="P25" s="10">
        <v>146</v>
      </c>
      <c r="Q25" s="22">
        <v>45192</v>
      </c>
      <c r="R25" s="11">
        <f>743+10</f>
        <v>753</v>
      </c>
      <c r="S25" s="22">
        <v>45222</v>
      </c>
      <c r="T25" s="11">
        <v>341</v>
      </c>
      <c r="U25" s="22">
        <v>45253</v>
      </c>
      <c r="V25" s="11">
        <f>756+6</f>
        <v>762</v>
      </c>
      <c r="W25" s="22">
        <v>45283</v>
      </c>
      <c r="X25" s="11">
        <f>1988+19</f>
        <v>2007</v>
      </c>
    </row>
    <row r="26" spans="1:24" ht="15.5" x14ac:dyDescent="0.35">
      <c r="A26" s="17">
        <v>44950</v>
      </c>
      <c r="B26" s="1">
        <v>508</v>
      </c>
      <c r="C26" s="16">
        <v>44981</v>
      </c>
      <c r="D26" s="2">
        <v>200</v>
      </c>
      <c r="E26" s="16">
        <v>45009</v>
      </c>
      <c r="F26" s="5"/>
      <c r="G26" s="19">
        <v>45040</v>
      </c>
      <c r="H26" s="4">
        <v>3260</v>
      </c>
      <c r="I26" s="15">
        <v>45070</v>
      </c>
      <c r="J26" s="9">
        <v>492</v>
      </c>
      <c r="K26" s="16">
        <v>45101</v>
      </c>
      <c r="L26" s="12">
        <f>850+26</f>
        <v>876</v>
      </c>
      <c r="M26" s="16">
        <v>45131</v>
      </c>
      <c r="N26" s="3">
        <v>138</v>
      </c>
      <c r="O26" s="21">
        <v>45162</v>
      </c>
      <c r="P26" s="10">
        <v>250</v>
      </c>
      <c r="Q26" s="22">
        <v>45193</v>
      </c>
      <c r="R26" s="11">
        <f>3371+110</f>
        <v>3481</v>
      </c>
      <c r="S26" s="22">
        <v>45223</v>
      </c>
      <c r="T26" s="11">
        <v>388</v>
      </c>
      <c r="U26" s="22">
        <v>45254</v>
      </c>
      <c r="V26" s="11">
        <v>250</v>
      </c>
      <c r="W26" s="22">
        <v>45284</v>
      </c>
      <c r="X26" s="11">
        <f>3791+32</f>
        <v>3823</v>
      </c>
    </row>
    <row r="27" spans="1:24" ht="15.5" x14ac:dyDescent="0.35">
      <c r="A27" s="17">
        <v>44951</v>
      </c>
      <c r="B27" s="1">
        <v>826</v>
      </c>
      <c r="C27" s="16">
        <v>44982</v>
      </c>
      <c r="D27" s="2">
        <v>664</v>
      </c>
      <c r="E27" s="16">
        <v>45010</v>
      </c>
      <c r="F27" s="5"/>
      <c r="G27" s="19">
        <v>45041</v>
      </c>
      <c r="H27" s="4">
        <v>3840</v>
      </c>
      <c r="I27" s="15">
        <v>45071</v>
      </c>
      <c r="J27" s="9">
        <v>871</v>
      </c>
      <c r="K27" s="16">
        <v>45102</v>
      </c>
      <c r="L27" s="12"/>
      <c r="M27" s="16">
        <v>45132</v>
      </c>
      <c r="N27" s="3">
        <v>141</v>
      </c>
      <c r="O27" s="21">
        <v>45163</v>
      </c>
      <c r="P27" s="10">
        <v>226</v>
      </c>
      <c r="Q27" s="22">
        <v>45194</v>
      </c>
      <c r="R27" s="11">
        <v>253</v>
      </c>
      <c r="S27" s="22">
        <v>45224</v>
      </c>
      <c r="T27" s="11">
        <v>500</v>
      </c>
      <c r="U27" s="22">
        <v>45255</v>
      </c>
      <c r="V27" s="11">
        <v>1016</v>
      </c>
      <c r="W27" s="22">
        <v>45285</v>
      </c>
      <c r="X27" s="11">
        <f>4690+63</f>
        <v>4753</v>
      </c>
    </row>
    <row r="28" spans="1:24" ht="15.5" x14ac:dyDescent="0.35">
      <c r="A28" s="17">
        <v>44952</v>
      </c>
      <c r="B28" s="1">
        <v>447</v>
      </c>
      <c r="C28" s="16">
        <v>44983</v>
      </c>
      <c r="D28" s="2">
        <v>2830</v>
      </c>
      <c r="E28" s="16">
        <v>45011</v>
      </c>
      <c r="F28" s="5"/>
      <c r="G28" s="19">
        <v>45042</v>
      </c>
      <c r="H28" s="4">
        <v>2620</v>
      </c>
      <c r="I28" s="15">
        <v>45072</v>
      </c>
      <c r="J28" s="9">
        <v>250</v>
      </c>
      <c r="K28" s="16">
        <v>45103</v>
      </c>
      <c r="L28" s="12"/>
      <c r="M28" s="16">
        <v>45133</v>
      </c>
      <c r="N28" s="3">
        <v>254</v>
      </c>
      <c r="O28" s="21">
        <v>45164</v>
      </c>
      <c r="P28" s="10">
        <f>592+11</f>
        <v>603</v>
      </c>
      <c r="Q28" s="22">
        <v>45195</v>
      </c>
      <c r="R28" s="11">
        <v>708</v>
      </c>
      <c r="S28" s="22">
        <v>45225</v>
      </c>
      <c r="T28" s="11">
        <v>482</v>
      </c>
      <c r="U28" s="22">
        <v>45256</v>
      </c>
      <c r="V28" s="11">
        <v>3427</v>
      </c>
      <c r="W28" s="22">
        <v>45286</v>
      </c>
      <c r="X28" s="11">
        <f>3669+32</f>
        <v>3701</v>
      </c>
    </row>
    <row r="29" spans="1:24" ht="15.5" x14ac:dyDescent="0.35">
      <c r="A29" s="17">
        <v>44953</v>
      </c>
      <c r="B29" s="1">
        <v>233</v>
      </c>
      <c r="C29" s="16">
        <v>44984</v>
      </c>
      <c r="D29" s="2">
        <v>161</v>
      </c>
      <c r="E29" s="16">
        <v>45012</v>
      </c>
      <c r="F29" s="5"/>
      <c r="G29" s="19">
        <v>45043</v>
      </c>
      <c r="H29" s="4">
        <v>1770</v>
      </c>
      <c r="I29" s="15">
        <v>45073</v>
      </c>
      <c r="J29" s="9">
        <v>2768</v>
      </c>
      <c r="K29" s="16">
        <v>45104</v>
      </c>
      <c r="L29" s="12">
        <v>1256</v>
      </c>
      <c r="M29" s="16">
        <v>45134</v>
      </c>
      <c r="N29" s="3">
        <v>89</v>
      </c>
      <c r="O29" s="21">
        <v>45165</v>
      </c>
      <c r="P29" s="10">
        <f>2422+14</f>
        <v>2436</v>
      </c>
      <c r="Q29" s="22">
        <v>45196</v>
      </c>
      <c r="R29" s="11">
        <v>1136</v>
      </c>
      <c r="S29" s="22">
        <v>45226</v>
      </c>
      <c r="T29" s="11">
        <v>258</v>
      </c>
      <c r="U29" s="22">
        <v>45257</v>
      </c>
      <c r="V29" s="11">
        <v>242</v>
      </c>
      <c r="W29" s="22">
        <v>45287</v>
      </c>
      <c r="X29" s="11">
        <v>2237</v>
      </c>
    </row>
    <row r="30" spans="1:24" ht="15.5" x14ac:dyDescent="0.35">
      <c r="A30" s="17">
        <v>44954</v>
      </c>
      <c r="B30" s="1">
        <v>817</v>
      </c>
      <c r="C30" s="16">
        <v>44985</v>
      </c>
      <c r="D30" s="2">
        <v>353</v>
      </c>
      <c r="E30" s="16">
        <v>45013</v>
      </c>
      <c r="F30" s="5"/>
      <c r="G30" s="19">
        <v>45044</v>
      </c>
      <c r="H30" s="4">
        <v>880</v>
      </c>
      <c r="I30" s="15">
        <v>45074</v>
      </c>
      <c r="J30" s="9">
        <v>1099</v>
      </c>
      <c r="K30" s="16">
        <v>45105</v>
      </c>
      <c r="L30" s="14"/>
      <c r="M30" s="16">
        <v>45135</v>
      </c>
      <c r="N30" s="13">
        <v>129</v>
      </c>
      <c r="O30" s="21">
        <v>45166</v>
      </c>
      <c r="P30" s="10">
        <v>175</v>
      </c>
      <c r="Q30" s="22">
        <v>45197</v>
      </c>
      <c r="R30" s="11">
        <f>3489+33</f>
        <v>3522</v>
      </c>
      <c r="S30" s="22">
        <v>45227</v>
      </c>
      <c r="T30" s="11">
        <f>965+11</f>
        <v>976</v>
      </c>
      <c r="U30" s="22">
        <v>45258</v>
      </c>
      <c r="V30" s="11">
        <v>231</v>
      </c>
      <c r="W30" s="22">
        <v>45288</v>
      </c>
      <c r="X30" s="11">
        <f>2528+40</f>
        <v>2568</v>
      </c>
    </row>
    <row r="31" spans="1:24" ht="15.5" x14ac:dyDescent="0.35">
      <c r="A31" s="17">
        <v>44955</v>
      </c>
      <c r="B31" s="1">
        <v>3576</v>
      </c>
      <c r="E31" s="16">
        <v>45014</v>
      </c>
      <c r="F31" s="5"/>
      <c r="G31" s="20">
        <v>45045</v>
      </c>
      <c r="H31" s="4">
        <v>2100</v>
      </c>
      <c r="I31" s="15">
        <v>45075</v>
      </c>
      <c r="J31" s="9">
        <f>710+35</f>
        <v>745</v>
      </c>
      <c r="K31" s="16">
        <v>45106</v>
      </c>
      <c r="L31" s="14"/>
      <c r="M31" s="16">
        <v>45136</v>
      </c>
      <c r="N31" s="13">
        <v>607</v>
      </c>
      <c r="O31" s="21">
        <v>45167</v>
      </c>
      <c r="P31" s="10">
        <v>145</v>
      </c>
      <c r="Q31" s="22">
        <v>45198</v>
      </c>
      <c r="R31" s="11">
        <f>184+8</f>
        <v>192</v>
      </c>
      <c r="S31" s="22">
        <v>45228</v>
      </c>
      <c r="T31" s="11">
        <f>3555+35</f>
        <v>3590</v>
      </c>
      <c r="U31" s="22">
        <v>45259</v>
      </c>
      <c r="V31" s="11">
        <v>255</v>
      </c>
      <c r="W31" s="22">
        <v>45289</v>
      </c>
      <c r="X31" s="11">
        <f>1364+20</f>
        <v>1384</v>
      </c>
    </row>
    <row r="32" spans="1:24" ht="15.5" x14ac:dyDescent="0.35">
      <c r="A32" s="17">
        <v>44956</v>
      </c>
      <c r="B32" s="1">
        <v>168</v>
      </c>
      <c r="E32" s="16">
        <v>45015</v>
      </c>
      <c r="F32" s="5"/>
      <c r="G32" s="20">
        <v>45046</v>
      </c>
      <c r="H32" s="4">
        <v>3210</v>
      </c>
      <c r="I32" s="15">
        <v>45076</v>
      </c>
      <c r="J32" s="9">
        <v>310</v>
      </c>
      <c r="K32" s="16">
        <v>45107</v>
      </c>
      <c r="L32" s="14"/>
      <c r="M32" s="16">
        <v>45137</v>
      </c>
      <c r="N32" s="13">
        <v>2359</v>
      </c>
      <c r="O32" s="21">
        <v>45168</v>
      </c>
      <c r="P32" s="10">
        <v>162</v>
      </c>
      <c r="Q32" s="22">
        <v>45199</v>
      </c>
      <c r="R32" s="11">
        <v>1216</v>
      </c>
      <c r="S32" s="22">
        <v>45229</v>
      </c>
      <c r="T32" s="11">
        <v>320</v>
      </c>
      <c r="U32" s="22">
        <v>45260</v>
      </c>
      <c r="V32" s="11">
        <v>364</v>
      </c>
      <c r="W32" s="22">
        <v>45290</v>
      </c>
      <c r="X32" s="11">
        <f>2968+36</f>
        <v>3004</v>
      </c>
    </row>
    <row r="33" spans="1:24" ht="15.5" x14ac:dyDescent="0.35">
      <c r="A33" s="17">
        <v>44957</v>
      </c>
      <c r="B33" s="1">
        <v>191</v>
      </c>
      <c r="E33" s="16">
        <v>45016</v>
      </c>
      <c r="F33" s="5"/>
      <c r="I33" s="15">
        <v>45077</v>
      </c>
      <c r="J33" s="9">
        <v>1778</v>
      </c>
      <c r="K33" s="16"/>
      <c r="L33" s="14"/>
      <c r="M33" s="16">
        <v>45138</v>
      </c>
      <c r="N33" s="3">
        <v>124</v>
      </c>
      <c r="O33" s="21">
        <v>45169</v>
      </c>
      <c r="P33" s="10">
        <v>119</v>
      </c>
      <c r="S33" s="22">
        <v>45230</v>
      </c>
      <c r="T33" s="11">
        <v>678</v>
      </c>
      <c r="W33" s="22">
        <v>45291</v>
      </c>
      <c r="X33" s="11">
        <f>3984+16</f>
        <v>4000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6DAE-5347-417C-B0CD-E1874E06B550}">
  <dimension ref="A2:X34"/>
  <sheetViews>
    <sheetView topLeftCell="F1" zoomScale="85" zoomScaleNormal="85" workbookViewId="0">
      <selection activeCell="F1" sqref="F1:X1"/>
    </sheetView>
  </sheetViews>
  <sheetFormatPr defaultRowHeight="14.5" x14ac:dyDescent="0.35"/>
  <cols>
    <col min="1" max="1" width="11" customWidth="1"/>
    <col min="3" max="3" width="11.1796875" customWidth="1"/>
    <col min="5" max="5" width="11" customWidth="1"/>
    <col min="7" max="7" width="10.7265625" customWidth="1"/>
    <col min="9" max="9" width="11.81640625" customWidth="1"/>
    <col min="11" max="11" width="11" customWidth="1"/>
    <col min="13" max="13" width="12" customWidth="1"/>
    <col min="15" max="15" width="10.81640625" customWidth="1"/>
    <col min="17" max="17" width="11.453125" customWidth="1"/>
    <col min="19" max="19" width="12.1796875" customWidth="1"/>
    <col min="21" max="21" width="12" customWidth="1"/>
    <col min="23" max="23" width="11.81640625" customWidth="1"/>
  </cols>
  <sheetData>
    <row r="2" spans="1:24" x14ac:dyDescent="0.35"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</row>
    <row r="3" spans="1:24" x14ac:dyDescent="0.35">
      <c r="A3" t="s">
        <v>0</v>
      </c>
      <c r="B3" t="s">
        <v>1</v>
      </c>
      <c r="C3" t="s">
        <v>0</v>
      </c>
      <c r="D3" t="s">
        <v>1</v>
      </c>
      <c r="E3" t="s">
        <v>0</v>
      </c>
      <c r="F3" s="37">
        <v>495</v>
      </c>
      <c r="G3" s="38">
        <v>45383</v>
      </c>
      <c r="H3" s="27">
        <v>42</v>
      </c>
      <c r="I3" s="41">
        <v>45413</v>
      </c>
      <c r="J3" s="23">
        <v>3044</v>
      </c>
      <c r="K3" s="41">
        <v>45444</v>
      </c>
      <c r="L3" s="43">
        <v>2087</v>
      </c>
      <c r="M3" s="46">
        <v>45474</v>
      </c>
      <c r="N3" s="25">
        <v>1570</v>
      </c>
      <c r="O3" s="46">
        <v>45505</v>
      </c>
      <c r="P3" s="25">
        <v>412</v>
      </c>
      <c r="Q3" s="47">
        <v>45536</v>
      </c>
      <c r="R3" s="28">
        <v>3359</v>
      </c>
      <c r="S3" s="46">
        <v>45566</v>
      </c>
      <c r="T3" s="29">
        <v>500</v>
      </c>
      <c r="U3" s="46">
        <v>45597</v>
      </c>
      <c r="V3" s="25">
        <v>286</v>
      </c>
      <c r="W3" s="51">
        <v>45627</v>
      </c>
      <c r="X3" s="25">
        <v>3123</v>
      </c>
    </row>
    <row r="4" spans="1:24" x14ac:dyDescent="0.35">
      <c r="A4" s="33">
        <v>45292</v>
      </c>
      <c r="B4" s="23">
        <f>4624+37</f>
        <v>4661</v>
      </c>
      <c r="C4" s="33">
        <v>45323</v>
      </c>
      <c r="D4" s="36">
        <v>212</v>
      </c>
      <c r="E4" s="39">
        <v>45352</v>
      </c>
      <c r="F4" s="37">
        <f>724+5</f>
        <v>729</v>
      </c>
      <c r="G4" s="38">
        <v>45384</v>
      </c>
      <c r="H4" s="27">
        <v>15</v>
      </c>
      <c r="I4" s="41">
        <v>45414</v>
      </c>
      <c r="J4" s="23">
        <v>502</v>
      </c>
      <c r="K4" s="41">
        <v>45445</v>
      </c>
      <c r="L4" s="43">
        <f>2863+9</f>
        <v>2872</v>
      </c>
      <c r="M4" s="46">
        <v>45475</v>
      </c>
      <c r="N4" s="25">
        <v>1742</v>
      </c>
      <c r="O4" s="46">
        <v>45506</v>
      </c>
      <c r="P4" s="25">
        <v>174</v>
      </c>
      <c r="Q4" s="46">
        <v>45537</v>
      </c>
      <c r="R4" s="28">
        <v>139</v>
      </c>
      <c r="S4" s="46">
        <v>45567</v>
      </c>
      <c r="T4" s="29">
        <v>981</v>
      </c>
      <c r="U4" s="46">
        <v>45598</v>
      </c>
      <c r="V4" s="25">
        <v>867</v>
      </c>
      <c r="W4" s="52">
        <v>45628</v>
      </c>
      <c r="X4" s="25">
        <v>509</v>
      </c>
    </row>
    <row r="5" spans="1:24" x14ac:dyDescent="0.35">
      <c r="A5" s="33">
        <v>45293</v>
      </c>
      <c r="B5" s="23">
        <v>682</v>
      </c>
      <c r="C5" s="33">
        <v>45324</v>
      </c>
      <c r="D5" s="36">
        <v>140</v>
      </c>
      <c r="E5" s="39">
        <v>45353</v>
      </c>
      <c r="F5" s="37">
        <f>2598+8</f>
        <v>2606</v>
      </c>
      <c r="G5" s="38">
        <v>45385</v>
      </c>
      <c r="H5" s="27">
        <v>8</v>
      </c>
      <c r="I5" s="41">
        <v>45415</v>
      </c>
      <c r="J5" s="23">
        <v>252</v>
      </c>
      <c r="K5" s="41">
        <v>45446</v>
      </c>
      <c r="L5" s="43">
        <v>220</v>
      </c>
      <c r="M5" s="46">
        <v>45476</v>
      </c>
      <c r="N5" s="25">
        <v>1961</v>
      </c>
      <c r="O5" s="47">
        <v>45507</v>
      </c>
      <c r="P5" s="25">
        <v>824</v>
      </c>
      <c r="Q5" s="46">
        <v>45538</v>
      </c>
      <c r="R5" s="28">
        <v>274</v>
      </c>
      <c r="S5" s="46">
        <v>45568</v>
      </c>
      <c r="T5" s="29">
        <v>575</v>
      </c>
      <c r="U5" s="46">
        <v>45599</v>
      </c>
      <c r="V5" s="25">
        <v>4186</v>
      </c>
      <c r="W5" s="52">
        <v>45629</v>
      </c>
      <c r="X5" s="25">
        <v>1136</v>
      </c>
    </row>
    <row r="6" spans="1:24" x14ac:dyDescent="0.35">
      <c r="A6" s="33">
        <v>45294</v>
      </c>
      <c r="B6" s="23">
        <v>311</v>
      </c>
      <c r="C6" s="33">
        <v>45325</v>
      </c>
      <c r="D6" s="36">
        <v>754</v>
      </c>
      <c r="E6" s="39">
        <v>45354</v>
      </c>
      <c r="F6" s="37">
        <v>390</v>
      </c>
      <c r="G6" s="38">
        <v>45386</v>
      </c>
      <c r="H6" s="27">
        <v>15</v>
      </c>
      <c r="I6" s="41">
        <v>45416</v>
      </c>
      <c r="J6" s="23">
        <v>738</v>
      </c>
      <c r="K6" s="41">
        <v>45447</v>
      </c>
      <c r="L6" s="43">
        <v>866</v>
      </c>
      <c r="M6" s="46">
        <v>45477</v>
      </c>
      <c r="N6" s="25">
        <v>1501</v>
      </c>
      <c r="O6" s="47">
        <v>45508</v>
      </c>
      <c r="P6" s="25">
        <v>2788</v>
      </c>
      <c r="Q6" s="46">
        <v>45539</v>
      </c>
      <c r="R6" s="28">
        <v>243</v>
      </c>
      <c r="S6" s="46">
        <v>45569</v>
      </c>
      <c r="T6" s="29">
        <v>464</v>
      </c>
      <c r="U6" s="46">
        <v>45600</v>
      </c>
      <c r="V6" s="25">
        <v>684</v>
      </c>
      <c r="W6" s="52">
        <v>45630</v>
      </c>
      <c r="X6" s="25">
        <v>1132</v>
      </c>
    </row>
    <row r="7" spans="1:24" x14ac:dyDescent="0.35">
      <c r="A7" s="33">
        <v>45295</v>
      </c>
      <c r="B7" s="23">
        <v>373</v>
      </c>
      <c r="C7" s="33">
        <v>45326</v>
      </c>
      <c r="D7" s="36">
        <v>1826</v>
      </c>
      <c r="E7" s="39">
        <v>45355</v>
      </c>
      <c r="F7" s="37">
        <v>530</v>
      </c>
      <c r="G7" s="38">
        <v>45387</v>
      </c>
      <c r="H7" s="27">
        <v>16</v>
      </c>
      <c r="I7" s="41">
        <v>45417</v>
      </c>
      <c r="J7" s="23">
        <v>3054</v>
      </c>
      <c r="K7" s="41">
        <v>45448</v>
      </c>
      <c r="L7" s="43">
        <v>1212</v>
      </c>
      <c r="M7" s="46">
        <v>45478</v>
      </c>
      <c r="N7" s="25">
        <v>651</v>
      </c>
      <c r="O7" s="46">
        <v>45509</v>
      </c>
      <c r="P7" s="25">
        <v>192</v>
      </c>
      <c r="Q7" s="46">
        <v>45540</v>
      </c>
      <c r="R7" s="28">
        <v>313</v>
      </c>
      <c r="S7" s="47">
        <v>45570</v>
      </c>
      <c r="T7" s="29">
        <v>1333</v>
      </c>
      <c r="U7" s="46">
        <v>45601</v>
      </c>
      <c r="V7" s="25">
        <v>640</v>
      </c>
      <c r="W7" s="52">
        <v>45631</v>
      </c>
      <c r="X7" s="25">
        <v>1268</v>
      </c>
    </row>
    <row r="8" spans="1:24" x14ac:dyDescent="0.35">
      <c r="A8" s="33">
        <v>45296</v>
      </c>
      <c r="B8" s="23">
        <v>245</v>
      </c>
      <c r="C8" s="33">
        <v>45327</v>
      </c>
      <c r="D8" s="36">
        <v>75</v>
      </c>
      <c r="E8" s="39">
        <v>45356</v>
      </c>
      <c r="F8" s="37">
        <f>484+15</f>
        <v>499</v>
      </c>
      <c r="G8" s="38">
        <v>45388</v>
      </c>
      <c r="H8" s="27">
        <v>41</v>
      </c>
      <c r="I8" s="41">
        <v>45418</v>
      </c>
      <c r="J8" s="23">
        <v>246</v>
      </c>
      <c r="K8" s="41">
        <v>45449</v>
      </c>
      <c r="L8" s="43">
        <v>653</v>
      </c>
      <c r="M8" s="47">
        <v>45479</v>
      </c>
      <c r="N8" s="25">
        <v>2209</v>
      </c>
      <c r="O8" s="46">
        <v>45510</v>
      </c>
      <c r="P8" s="25">
        <v>108</v>
      </c>
      <c r="Q8" s="46">
        <v>45541</v>
      </c>
      <c r="R8" s="28">
        <v>169</v>
      </c>
      <c r="S8" s="47">
        <v>45571</v>
      </c>
      <c r="T8" s="29">
        <f>4417+34</f>
        <v>4451</v>
      </c>
      <c r="U8" s="46">
        <v>45602</v>
      </c>
      <c r="V8" s="25">
        <v>1046</v>
      </c>
      <c r="W8" s="52">
        <v>45632</v>
      </c>
      <c r="X8" s="25">
        <v>363</v>
      </c>
    </row>
    <row r="9" spans="1:24" x14ac:dyDescent="0.35">
      <c r="A9" s="33">
        <v>45297</v>
      </c>
      <c r="B9" s="23">
        <f>895+6</f>
        <v>901</v>
      </c>
      <c r="C9" s="33">
        <v>45328</v>
      </c>
      <c r="D9" s="36">
        <v>260</v>
      </c>
      <c r="E9" s="39">
        <v>45357</v>
      </c>
      <c r="F9" s="37">
        <v>862</v>
      </c>
      <c r="G9" s="38">
        <v>45389</v>
      </c>
      <c r="H9" s="27">
        <v>143</v>
      </c>
      <c r="I9" s="41">
        <v>45419</v>
      </c>
      <c r="J9" s="23">
        <v>345</v>
      </c>
      <c r="K9" s="41">
        <v>45450</v>
      </c>
      <c r="L9" s="43">
        <v>573</v>
      </c>
      <c r="M9" s="47">
        <v>45480</v>
      </c>
      <c r="N9" s="25">
        <v>4857</v>
      </c>
      <c r="O9" s="46">
        <v>45511</v>
      </c>
      <c r="P9" s="25">
        <v>204</v>
      </c>
      <c r="Q9" s="47">
        <v>45542</v>
      </c>
      <c r="R9" s="28">
        <v>1159</v>
      </c>
      <c r="S9" s="46">
        <v>45572</v>
      </c>
      <c r="T9" s="29">
        <v>219</v>
      </c>
      <c r="U9" s="46">
        <v>45603</v>
      </c>
      <c r="V9" s="25">
        <v>870</v>
      </c>
      <c r="W9" s="51">
        <v>45633</v>
      </c>
      <c r="X9" s="25">
        <v>1183</v>
      </c>
    </row>
    <row r="10" spans="1:24" x14ac:dyDescent="0.35">
      <c r="A10" s="33">
        <v>45298</v>
      </c>
      <c r="B10" s="23">
        <f>2906+40</f>
        <v>2946</v>
      </c>
      <c r="C10" s="33">
        <v>45329</v>
      </c>
      <c r="D10" s="36">
        <f>452+9</f>
        <v>461</v>
      </c>
      <c r="E10" s="39">
        <v>45358</v>
      </c>
      <c r="F10" s="37">
        <v>363</v>
      </c>
      <c r="G10" s="38">
        <v>45390</v>
      </c>
      <c r="H10" s="27"/>
      <c r="I10" s="41">
        <v>45420</v>
      </c>
      <c r="J10" s="24">
        <v>1048</v>
      </c>
      <c r="K10" s="41">
        <v>45451</v>
      </c>
      <c r="L10" s="43">
        <v>1560</v>
      </c>
      <c r="M10" s="46">
        <v>45481</v>
      </c>
      <c r="N10" s="25">
        <v>1922</v>
      </c>
      <c r="O10" s="46">
        <v>45512</v>
      </c>
      <c r="P10" s="25">
        <v>132</v>
      </c>
      <c r="Q10" s="47">
        <v>45543</v>
      </c>
      <c r="R10" s="28">
        <v>2824</v>
      </c>
      <c r="S10" s="46">
        <v>45573</v>
      </c>
      <c r="T10" s="29">
        <v>965</v>
      </c>
      <c r="U10" s="46">
        <v>45604</v>
      </c>
      <c r="V10" s="25">
        <v>203</v>
      </c>
      <c r="W10" s="51">
        <v>45634</v>
      </c>
      <c r="X10" s="25">
        <v>3806</v>
      </c>
    </row>
    <row r="11" spans="1:24" x14ac:dyDescent="0.35">
      <c r="A11" s="33">
        <v>45299</v>
      </c>
      <c r="B11" s="23">
        <v>316</v>
      </c>
      <c r="C11" s="33">
        <v>45330</v>
      </c>
      <c r="D11" s="36">
        <f>1972+22</f>
        <v>1994</v>
      </c>
      <c r="E11" s="39">
        <v>45359</v>
      </c>
      <c r="F11" s="37">
        <f>809+7</f>
        <v>816</v>
      </c>
      <c r="G11" s="38">
        <v>45391</v>
      </c>
      <c r="H11" s="27"/>
      <c r="I11" s="41">
        <v>45421</v>
      </c>
      <c r="J11" s="24">
        <v>2684</v>
      </c>
      <c r="K11" s="41">
        <v>45452</v>
      </c>
      <c r="L11" s="43">
        <v>3311</v>
      </c>
      <c r="M11" s="46">
        <v>45482</v>
      </c>
      <c r="N11" s="25">
        <v>2080</v>
      </c>
      <c r="O11" s="46">
        <v>45513</v>
      </c>
      <c r="P11" s="25">
        <v>262</v>
      </c>
      <c r="Q11" s="46">
        <v>45544</v>
      </c>
      <c r="R11" s="28">
        <v>365</v>
      </c>
      <c r="S11" s="46">
        <v>45574</v>
      </c>
      <c r="T11" s="29">
        <v>930</v>
      </c>
      <c r="U11" s="46">
        <v>45605</v>
      </c>
      <c r="V11" s="25">
        <v>761</v>
      </c>
      <c r="W11" s="52">
        <v>45635</v>
      </c>
      <c r="X11" s="25">
        <v>1379</v>
      </c>
    </row>
    <row r="12" spans="1:24" x14ac:dyDescent="0.35">
      <c r="A12" s="33">
        <v>45300</v>
      </c>
      <c r="B12" s="23">
        <v>400</v>
      </c>
      <c r="C12" s="33">
        <v>45331</v>
      </c>
      <c r="D12" s="36">
        <f>814+6</f>
        <v>820</v>
      </c>
      <c r="E12" s="39">
        <v>45360</v>
      </c>
      <c r="F12" s="37">
        <f>2741+69</f>
        <v>2810</v>
      </c>
      <c r="G12" s="38">
        <v>45392</v>
      </c>
      <c r="H12" s="27"/>
      <c r="I12" s="41">
        <v>45422</v>
      </c>
      <c r="J12" s="24">
        <v>959</v>
      </c>
      <c r="K12" s="41">
        <v>45453</v>
      </c>
      <c r="L12" s="43">
        <v>1160</v>
      </c>
      <c r="M12" s="46">
        <v>45483</v>
      </c>
      <c r="N12" s="25">
        <v>1783</v>
      </c>
      <c r="O12" s="47">
        <v>45514</v>
      </c>
      <c r="P12" s="25">
        <v>535</v>
      </c>
      <c r="Q12" s="46">
        <v>45545</v>
      </c>
      <c r="R12" s="28">
        <v>443</v>
      </c>
      <c r="S12" s="46">
        <v>45575</v>
      </c>
      <c r="T12" s="29">
        <v>653</v>
      </c>
      <c r="U12" s="46">
        <v>45606</v>
      </c>
      <c r="V12" s="25">
        <v>4024</v>
      </c>
      <c r="W12" s="52">
        <v>45636</v>
      </c>
      <c r="X12" s="25">
        <v>1431</v>
      </c>
    </row>
    <row r="13" spans="1:24" x14ac:dyDescent="0.35">
      <c r="A13" s="33">
        <v>45301</v>
      </c>
      <c r="B13" s="23">
        <v>486</v>
      </c>
      <c r="C13" s="33">
        <v>45332</v>
      </c>
      <c r="D13" s="36">
        <f>2285+19</f>
        <v>2304</v>
      </c>
      <c r="E13" s="39">
        <v>45361</v>
      </c>
      <c r="F13" s="37">
        <v>1956</v>
      </c>
      <c r="G13" s="38">
        <v>45393</v>
      </c>
      <c r="H13" s="27">
        <f>2023+18</f>
        <v>2041</v>
      </c>
      <c r="I13" s="41">
        <v>45423</v>
      </c>
      <c r="J13" s="23">
        <v>1265</v>
      </c>
      <c r="K13" s="41">
        <v>45454</v>
      </c>
      <c r="L13" s="43">
        <v>2514</v>
      </c>
      <c r="M13" s="46">
        <v>45484</v>
      </c>
      <c r="N13" s="25">
        <v>2062</v>
      </c>
      <c r="O13" s="47">
        <v>45515</v>
      </c>
      <c r="P13" s="25">
        <v>2647</v>
      </c>
      <c r="Q13" s="46">
        <v>45546</v>
      </c>
      <c r="R13" s="28">
        <v>302</v>
      </c>
      <c r="S13" s="46">
        <v>45576</v>
      </c>
      <c r="T13" s="29">
        <v>328</v>
      </c>
      <c r="U13" s="46">
        <v>45607</v>
      </c>
      <c r="V13" s="25">
        <v>489</v>
      </c>
      <c r="W13" s="52">
        <v>45637</v>
      </c>
      <c r="X13" s="25">
        <v>2273</v>
      </c>
    </row>
    <row r="14" spans="1:24" x14ac:dyDescent="0.35">
      <c r="A14" s="33">
        <v>45302</v>
      </c>
      <c r="B14" s="23">
        <v>86</v>
      </c>
      <c r="C14" s="33">
        <v>45333</v>
      </c>
      <c r="D14" s="36">
        <f>2242+44</f>
        <v>2286</v>
      </c>
      <c r="E14" s="39">
        <v>45362</v>
      </c>
      <c r="F14" s="37"/>
      <c r="G14" s="38">
        <v>45394</v>
      </c>
      <c r="H14" s="27">
        <f>2963+40</f>
        <v>3003</v>
      </c>
      <c r="I14" s="41">
        <v>45424</v>
      </c>
      <c r="J14" s="23">
        <v>3412</v>
      </c>
      <c r="K14" s="41">
        <v>45455</v>
      </c>
      <c r="L14" s="43">
        <v>2245</v>
      </c>
      <c r="M14" s="46">
        <v>45485</v>
      </c>
      <c r="N14" s="25">
        <v>752</v>
      </c>
      <c r="O14" s="46">
        <v>45516</v>
      </c>
      <c r="P14" s="25">
        <v>111</v>
      </c>
      <c r="Q14" s="46">
        <v>45547</v>
      </c>
      <c r="R14" s="28">
        <v>368</v>
      </c>
      <c r="S14" s="47">
        <v>45577</v>
      </c>
      <c r="T14" s="29">
        <f>39+1232</f>
        <v>1271</v>
      </c>
      <c r="U14" s="46">
        <v>45608</v>
      </c>
      <c r="V14" s="25">
        <v>309</v>
      </c>
      <c r="W14" s="52">
        <v>45638</v>
      </c>
      <c r="X14" s="25">
        <v>2313</v>
      </c>
    </row>
    <row r="15" spans="1:24" x14ac:dyDescent="0.35">
      <c r="A15" s="33">
        <v>45303</v>
      </c>
      <c r="B15" s="23">
        <v>207</v>
      </c>
      <c r="C15" s="33">
        <v>45334</v>
      </c>
      <c r="D15" s="36">
        <v>98</v>
      </c>
      <c r="E15" s="40">
        <v>45363</v>
      </c>
      <c r="F15" s="37"/>
      <c r="G15" s="38">
        <v>45395</v>
      </c>
      <c r="H15" s="27">
        <f>4165+59</f>
        <v>4224</v>
      </c>
      <c r="I15" s="41">
        <v>45425</v>
      </c>
      <c r="J15" s="23">
        <v>575</v>
      </c>
      <c r="K15" s="41">
        <v>45456</v>
      </c>
      <c r="L15" s="43">
        <v>2154</v>
      </c>
      <c r="M15" s="47">
        <v>45486</v>
      </c>
      <c r="N15" s="25">
        <v>2959</v>
      </c>
      <c r="O15" s="46">
        <v>45517</v>
      </c>
      <c r="P15" s="25">
        <v>196</v>
      </c>
      <c r="Q15" s="46">
        <v>45548</v>
      </c>
      <c r="R15" s="28">
        <v>254</v>
      </c>
      <c r="S15" s="47">
        <v>45578</v>
      </c>
      <c r="T15" s="29">
        <v>4219</v>
      </c>
      <c r="U15" s="46">
        <v>45609</v>
      </c>
      <c r="V15" s="25">
        <v>640</v>
      </c>
      <c r="W15" s="52">
        <v>45639</v>
      </c>
      <c r="X15" s="25">
        <v>849</v>
      </c>
    </row>
    <row r="16" spans="1:24" x14ac:dyDescent="0.35">
      <c r="A16" s="33">
        <v>45304</v>
      </c>
      <c r="B16" s="23">
        <v>675</v>
      </c>
      <c r="C16" s="33">
        <v>45335</v>
      </c>
      <c r="D16" s="36">
        <v>243</v>
      </c>
      <c r="E16" s="40">
        <v>45364</v>
      </c>
      <c r="F16" s="37"/>
      <c r="G16" s="38">
        <v>45396</v>
      </c>
      <c r="H16" s="27">
        <f>3718+90-18</f>
        <v>3790</v>
      </c>
      <c r="I16" s="41">
        <v>45426</v>
      </c>
      <c r="J16" s="25">
        <v>555</v>
      </c>
      <c r="K16" s="41">
        <v>45457</v>
      </c>
      <c r="L16" s="43">
        <v>1579</v>
      </c>
      <c r="M16" s="47">
        <v>45487</v>
      </c>
      <c r="N16" s="25">
        <v>5032</v>
      </c>
      <c r="O16" s="46">
        <v>45518</v>
      </c>
      <c r="P16" s="25">
        <v>323</v>
      </c>
      <c r="Q16" s="47">
        <v>45549</v>
      </c>
      <c r="R16" s="28">
        <v>852</v>
      </c>
      <c r="S16" s="46">
        <v>45579</v>
      </c>
      <c r="T16" s="29">
        <v>474</v>
      </c>
      <c r="U16" s="46">
        <v>45610</v>
      </c>
      <c r="V16" s="25">
        <v>1350</v>
      </c>
      <c r="W16" s="51">
        <v>45640</v>
      </c>
      <c r="X16" s="25">
        <v>744</v>
      </c>
    </row>
    <row r="17" spans="1:24" x14ac:dyDescent="0.35">
      <c r="A17" s="33">
        <v>45305</v>
      </c>
      <c r="B17" s="23">
        <f>2726+17</f>
        <v>2743</v>
      </c>
      <c r="C17" s="33">
        <v>45336</v>
      </c>
      <c r="D17" s="36"/>
      <c r="E17" s="40">
        <v>45365</v>
      </c>
      <c r="F17" s="37"/>
      <c r="G17" s="38">
        <v>45397</v>
      </c>
      <c r="H17" s="27">
        <f>2954+22</f>
        <v>2976</v>
      </c>
      <c r="I17" s="41">
        <v>45427</v>
      </c>
      <c r="J17" s="25">
        <v>629</v>
      </c>
      <c r="K17" s="41">
        <v>45458</v>
      </c>
      <c r="L17" s="43">
        <v>1472</v>
      </c>
      <c r="M17" s="46">
        <v>45488</v>
      </c>
      <c r="N17" s="25">
        <v>503</v>
      </c>
      <c r="O17" s="46">
        <v>45519</v>
      </c>
      <c r="P17" s="25">
        <v>308</v>
      </c>
      <c r="Q17" s="47">
        <v>45550</v>
      </c>
      <c r="R17" s="28">
        <v>4243</v>
      </c>
      <c r="S17" s="46">
        <v>45580</v>
      </c>
      <c r="T17" s="29">
        <v>646</v>
      </c>
      <c r="U17" s="46">
        <v>45611</v>
      </c>
      <c r="V17" s="25">
        <v>665</v>
      </c>
      <c r="W17" s="51">
        <v>45641</v>
      </c>
      <c r="X17" s="25">
        <v>3298</v>
      </c>
    </row>
    <row r="18" spans="1:24" x14ac:dyDescent="0.35">
      <c r="A18" s="33">
        <v>45306</v>
      </c>
      <c r="B18" s="23">
        <v>290</v>
      </c>
      <c r="C18" s="33">
        <v>45337</v>
      </c>
      <c r="D18" s="36">
        <f>195+8</f>
        <v>203</v>
      </c>
      <c r="E18" s="40">
        <v>45366</v>
      </c>
      <c r="F18" s="37">
        <v>28</v>
      </c>
      <c r="G18" s="38">
        <v>45398</v>
      </c>
      <c r="H18" s="27">
        <f>1335+2</f>
        <v>1337</v>
      </c>
      <c r="I18" s="41">
        <v>45428</v>
      </c>
      <c r="J18" s="25">
        <v>525</v>
      </c>
      <c r="K18" s="41">
        <v>45459</v>
      </c>
      <c r="L18" s="43">
        <v>1173</v>
      </c>
      <c r="M18" s="46">
        <v>45489</v>
      </c>
      <c r="N18" s="25">
        <v>545</v>
      </c>
      <c r="O18" s="46">
        <v>45520</v>
      </c>
      <c r="P18" s="25">
        <v>154</v>
      </c>
      <c r="Q18" s="46">
        <v>45551</v>
      </c>
      <c r="R18" s="28">
        <v>4116</v>
      </c>
      <c r="S18" s="46">
        <v>45581</v>
      </c>
      <c r="T18" s="29">
        <f>578+445</f>
        <v>1023</v>
      </c>
      <c r="U18" s="46">
        <v>45612</v>
      </c>
      <c r="V18" s="25">
        <v>1176</v>
      </c>
      <c r="W18" s="52">
        <v>45642</v>
      </c>
      <c r="X18" s="25">
        <v>1105</v>
      </c>
    </row>
    <row r="19" spans="1:24" x14ac:dyDescent="0.35">
      <c r="A19" s="33">
        <v>45307</v>
      </c>
      <c r="B19" s="23">
        <v>224</v>
      </c>
      <c r="C19" s="33">
        <v>45338</v>
      </c>
      <c r="D19" s="36">
        <v>311</v>
      </c>
      <c r="E19" s="39">
        <v>45367</v>
      </c>
      <c r="F19" s="37">
        <v>64</v>
      </c>
      <c r="G19" s="38">
        <v>45399</v>
      </c>
      <c r="H19" s="27">
        <f>856+5</f>
        <v>861</v>
      </c>
      <c r="I19" s="41">
        <v>45429</v>
      </c>
      <c r="J19" s="25">
        <v>596</v>
      </c>
      <c r="K19" s="44">
        <v>45460</v>
      </c>
      <c r="L19" s="43"/>
      <c r="M19" s="46">
        <v>45490</v>
      </c>
      <c r="N19" s="25">
        <v>916</v>
      </c>
      <c r="O19" s="49">
        <v>45521</v>
      </c>
      <c r="P19" s="50"/>
      <c r="Q19" s="46">
        <v>45552</v>
      </c>
      <c r="R19" s="28">
        <v>160</v>
      </c>
      <c r="S19" s="46">
        <v>45582</v>
      </c>
      <c r="T19" s="29">
        <v>1043</v>
      </c>
      <c r="U19" s="46">
        <v>45613</v>
      </c>
      <c r="V19" s="25">
        <v>4093</v>
      </c>
      <c r="W19" s="52">
        <v>45643</v>
      </c>
      <c r="X19" s="25">
        <v>807</v>
      </c>
    </row>
    <row r="20" spans="1:24" x14ac:dyDescent="0.35">
      <c r="A20" s="34">
        <v>45308</v>
      </c>
      <c r="B20" s="24">
        <v>249</v>
      </c>
      <c r="C20" s="33">
        <v>45339</v>
      </c>
      <c r="D20" s="36">
        <f>522+6</f>
        <v>528</v>
      </c>
      <c r="E20" s="39">
        <v>45368</v>
      </c>
      <c r="F20" s="37">
        <v>3</v>
      </c>
      <c r="G20" s="38">
        <v>45400</v>
      </c>
      <c r="H20" s="27">
        <f>816+8</f>
        <v>824</v>
      </c>
      <c r="I20" s="41">
        <v>45430</v>
      </c>
      <c r="J20" s="25">
        <v>858</v>
      </c>
      <c r="K20" s="41">
        <v>45461</v>
      </c>
      <c r="L20" s="43">
        <v>1656</v>
      </c>
      <c r="M20" s="46">
        <v>45491</v>
      </c>
      <c r="N20" s="25">
        <v>1032</v>
      </c>
      <c r="O20" s="47">
        <v>45522</v>
      </c>
      <c r="P20" s="25">
        <v>2232</v>
      </c>
      <c r="Q20" s="46">
        <v>45553</v>
      </c>
      <c r="R20" s="28">
        <v>442</v>
      </c>
      <c r="S20" s="46">
        <v>45583</v>
      </c>
      <c r="T20" s="29">
        <v>463</v>
      </c>
      <c r="U20" s="46">
        <v>45614</v>
      </c>
      <c r="V20" s="25">
        <v>361</v>
      </c>
      <c r="W20" s="52">
        <v>45644</v>
      </c>
      <c r="X20" s="25">
        <v>1059</v>
      </c>
    </row>
    <row r="21" spans="1:24" x14ac:dyDescent="0.35">
      <c r="A21" s="34">
        <v>45309</v>
      </c>
      <c r="B21" s="24">
        <v>191</v>
      </c>
      <c r="C21" s="33">
        <v>45340</v>
      </c>
      <c r="D21" s="36">
        <f>2472</f>
        <v>2472</v>
      </c>
      <c r="E21" s="39">
        <v>45369</v>
      </c>
      <c r="F21" s="37">
        <v>9</v>
      </c>
      <c r="G21" s="38">
        <v>45401</v>
      </c>
      <c r="H21" s="27">
        <f>433+7</f>
        <v>440</v>
      </c>
      <c r="I21" s="41">
        <v>45431</v>
      </c>
      <c r="J21" s="25">
        <v>3396</v>
      </c>
      <c r="K21" s="41">
        <v>45462</v>
      </c>
      <c r="L21" s="43">
        <v>1993</v>
      </c>
      <c r="M21" s="46">
        <v>45492</v>
      </c>
      <c r="N21" s="25">
        <v>413</v>
      </c>
      <c r="O21" s="46">
        <v>45523</v>
      </c>
      <c r="P21" s="25">
        <v>122</v>
      </c>
      <c r="Q21" s="46">
        <v>45554</v>
      </c>
      <c r="R21" s="28">
        <v>756</v>
      </c>
      <c r="S21" s="47">
        <v>45584</v>
      </c>
      <c r="T21" s="29">
        <v>1034</v>
      </c>
      <c r="U21" s="46">
        <v>45615</v>
      </c>
      <c r="V21" s="25">
        <v>756</v>
      </c>
      <c r="W21" s="52">
        <v>45645</v>
      </c>
      <c r="X21" s="25">
        <v>1574</v>
      </c>
    </row>
    <row r="22" spans="1:24" x14ac:dyDescent="0.35">
      <c r="A22" s="34">
        <v>45310</v>
      </c>
      <c r="B22" s="24">
        <v>145</v>
      </c>
      <c r="C22" s="33">
        <v>45341</v>
      </c>
      <c r="D22" s="36">
        <v>116</v>
      </c>
      <c r="E22" s="39">
        <v>45370</v>
      </c>
      <c r="F22" s="37">
        <v>14</v>
      </c>
      <c r="G22" s="38">
        <v>45402</v>
      </c>
      <c r="H22" s="27">
        <f>1095+8</f>
        <v>1103</v>
      </c>
      <c r="I22" s="41">
        <v>45432</v>
      </c>
      <c r="J22" s="25">
        <v>927</v>
      </c>
      <c r="K22" s="41">
        <v>45463</v>
      </c>
      <c r="L22" s="43">
        <v>2141</v>
      </c>
      <c r="M22" s="47">
        <v>45493</v>
      </c>
      <c r="N22" s="25">
        <v>1224</v>
      </c>
      <c r="O22" s="46">
        <v>45524</v>
      </c>
      <c r="P22" s="25">
        <v>239</v>
      </c>
      <c r="Q22" s="46">
        <v>45555</v>
      </c>
      <c r="R22" s="28">
        <v>240</v>
      </c>
      <c r="S22" s="47">
        <v>45585</v>
      </c>
      <c r="T22" s="29">
        <v>3441</v>
      </c>
      <c r="U22" s="46">
        <v>45616</v>
      </c>
      <c r="V22" s="25">
        <v>1229</v>
      </c>
      <c r="W22" s="52">
        <v>45646</v>
      </c>
      <c r="X22" s="25">
        <v>416</v>
      </c>
    </row>
    <row r="23" spans="1:24" x14ac:dyDescent="0.35">
      <c r="A23" s="33">
        <v>45311</v>
      </c>
      <c r="B23" s="23">
        <v>427</v>
      </c>
      <c r="C23" s="33">
        <v>45342</v>
      </c>
      <c r="D23" s="36">
        <v>373</v>
      </c>
      <c r="E23" s="39">
        <v>45371</v>
      </c>
      <c r="F23" s="37">
        <v>13</v>
      </c>
      <c r="G23" s="38">
        <v>45403</v>
      </c>
      <c r="H23" s="27">
        <f>3007+13</f>
        <v>3020</v>
      </c>
      <c r="I23" s="41">
        <v>45433</v>
      </c>
      <c r="J23" s="25">
        <v>706</v>
      </c>
      <c r="K23" s="41">
        <v>45464</v>
      </c>
      <c r="L23" s="43">
        <v>530</v>
      </c>
      <c r="M23" s="47">
        <v>45494</v>
      </c>
      <c r="N23" s="25">
        <v>4017</v>
      </c>
      <c r="O23" s="46">
        <v>45525</v>
      </c>
      <c r="P23" s="25">
        <v>255</v>
      </c>
      <c r="Q23" s="47">
        <v>45556</v>
      </c>
      <c r="R23" s="28">
        <v>831</v>
      </c>
      <c r="S23" s="46">
        <v>45586</v>
      </c>
      <c r="T23" s="29">
        <v>229</v>
      </c>
      <c r="U23" s="46">
        <v>45617</v>
      </c>
      <c r="V23" s="25">
        <v>1007</v>
      </c>
      <c r="W23" s="51">
        <v>45647</v>
      </c>
      <c r="X23" s="25">
        <v>1340</v>
      </c>
    </row>
    <row r="24" spans="1:24" x14ac:dyDescent="0.35">
      <c r="A24" s="33">
        <v>45312</v>
      </c>
      <c r="B24" s="23">
        <f>2242+26</f>
        <v>2268</v>
      </c>
      <c r="C24" s="33">
        <v>45343</v>
      </c>
      <c r="D24" s="36"/>
      <c r="E24" s="39">
        <v>45372</v>
      </c>
      <c r="F24" s="37">
        <v>34</v>
      </c>
      <c r="G24" s="38">
        <v>45404</v>
      </c>
      <c r="H24" s="27">
        <v>293</v>
      </c>
      <c r="I24" s="41">
        <v>45434</v>
      </c>
      <c r="J24" s="25">
        <v>2361</v>
      </c>
      <c r="K24" s="41">
        <v>45465</v>
      </c>
      <c r="L24" s="43">
        <v>994</v>
      </c>
      <c r="M24" s="46">
        <v>45495</v>
      </c>
      <c r="N24" s="25">
        <v>183</v>
      </c>
      <c r="O24" s="46">
        <v>45526</v>
      </c>
      <c r="P24" s="25">
        <v>185</v>
      </c>
      <c r="Q24" s="47">
        <v>45557</v>
      </c>
      <c r="R24" s="28">
        <v>3301</v>
      </c>
      <c r="S24" s="46">
        <v>45587</v>
      </c>
      <c r="T24" s="29">
        <v>506</v>
      </c>
      <c r="U24" s="46">
        <v>45618</v>
      </c>
      <c r="V24" s="25">
        <v>307</v>
      </c>
      <c r="W24" s="51">
        <v>45648</v>
      </c>
      <c r="X24" s="25">
        <v>3781</v>
      </c>
    </row>
    <row r="25" spans="1:24" x14ac:dyDescent="0.35">
      <c r="A25" s="33">
        <v>45313</v>
      </c>
      <c r="B25" s="23">
        <v>28</v>
      </c>
      <c r="C25" s="33">
        <v>45344</v>
      </c>
      <c r="D25" s="36">
        <v>537</v>
      </c>
      <c r="E25" s="39">
        <v>45373</v>
      </c>
      <c r="F25" s="37">
        <v>29</v>
      </c>
      <c r="G25" s="38">
        <v>45405</v>
      </c>
      <c r="H25" s="27">
        <v>343</v>
      </c>
      <c r="I25" s="41">
        <v>45435</v>
      </c>
      <c r="J25" s="25">
        <v>3381</v>
      </c>
      <c r="K25" s="41">
        <v>45466</v>
      </c>
      <c r="L25" s="43">
        <v>2965</v>
      </c>
      <c r="M25" s="46">
        <v>45496</v>
      </c>
      <c r="N25" s="25">
        <v>122</v>
      </c>
      <c r="O25" s="46">
        <v>45527</v>
      </c>
      <c r="P25" s="25">
        <v>197</v>
      </c>
      <c r="Q25" s="46">
        <v>45558</v>
      </c>
      <c r="R25" s="28">
        <v>221</v>
      </c>
      <c r="S25" s="46">
        <v>45588</v>
      </c>
      <c r="T25" s="29">
        <v>446</v>
      </c>
      <c r="U25" s="46">
        <v>45619</v>
      </c>
      <c r="V25" s="25">
        <v>1052</v>
      </c>
      <c r="W25" s="52">
        <v>45649</v>
      </c>
      <c r="X25" s="25">
        <v>1898</v>
      </c>
    </row>
    <row r="26" spans="1:24" x14ac:dyDescent="0.35">
      <c r="A26" s="33">
        <v>45314</v>
      </c>
      <c r="B26" s="23">
        <v>206</v>
      </c>
      <c r="C26" s="33">
        <v>45345</v>
      </c>
      <c r="D26" s="36">
        <v>113</v>
      </c>
      <c r="E26" s="39">
        <v>45374</v>
      </c>
      <c r="F26" s="37">
        <v>127</v>
      </c>
      <c r="G26" s="38">
        <v>45406</v>
      </c>
      <c r="H26" s="27">
        <v>262</v>
      </c>
      <c r="I26" s="41">
        <v>45436</v>
      </c>
      <c r="J26" s="25">
        <v>822</v>
      </c>
      <c r="K26" s="41">
        <v>45467</v>
      </c>
      <c r="L26" s="43">
        <v>1885</v>
      </c>
      <c r="M26" s="46">
        <v>45497</v>
      </c>
      <c r="N26" s="25">
        <v>210</v>
      </c>
      <c r="O26" s="47">
        <v>45528</v>
      </c>
      <c r="P26" s="25">
        <v>530</v>
      </c>
      <c r="Q26" s="46">
        <v>45559</v>
      </c>
      <c r="R26" s="28">
        <v>517</v>
      </c>
      <c r="S26" s="46">
        <v>45589</v>
      </c>
      <c r="T26" s="29">
        <v>632</v>
      </c>
      <c r="U26" s="46">
        <v>45620</v>
      </c>
      <c r="V26" s="25">
        <v>3033</v>
      </c>
      <c r="W26" s="52">
        <v>45650</v>
      </c>
      <c r="X26" s="25">
        <v>2102</v>
      </c>
    </row>
    <row r="27" spans="1:24" x14ac:dyDescent="0.35">
      <c r="A27" s="33">
        <v>45315</v>
      </c>
      <c r="B27" s="23">
        <v>398</v>
      </c>
      <c r="C27" s="33">
        <v>45346</v>
      </c>
      <c r="D27" s="36">
        <v>733</v>
      </c>
      <c r="E27" s="39">
        <v>45375</v>
      </c>
      <c r="F27" s="37">
        <v>11</v>
      </c>
      <c r="G27" s="38">
        <v>45407</v>
      </c>
      <c r="H27" s="27">
        <v>276</v>
      </c>
      <c r="I27" s="41">
        <v>45437</v>
      </c>
      <c r="J27" s="25">
        <v>1157</v>
      </c>
      <c r="K27" s="41">
        <v>45468</v>
      </c>
      <c r="L27" s="43">
        <v>2008</v>
      </c>
      <c r="M27" s="46">
        <v>45498</v>
      </c>
      <c r="N27" s="25">
        <v>266</v>
      </c>
      <c r="O27" s="47">
        <v>45529</v>
      </c>
      <c r="P27" s="25">
        <v>2660</v>
      </c>
      <c r="Q27" s="46">
        <v>45560</v>
      </c>
      <c r="R27" s="28">
        <v>610</v>
      </c>
      <c r="S27" s="46">
        <v>45590</v>
      </c>
      <c r="T27" s="29">
        <v>194</v>
      </c>
      <c r="U27" s="46">
        <v>45621</v>
      </c>
      <c r="V27" s="25">
        <v>378</v>
      </c>
      <c r="W27" s="51">
        <v>45651</v>
      </c>
      <c r="X27" s="25">
        <v>3393</v>
      </c>
    </row>
    <row r="28" spans="1:24" x14ac:dyDescent="0.35">
      <c r="A28" s="33">
        <v>45316</v>
      </c>
      <c r="B28" s="23">
        <v>399</v>
      </c>
      <c r="C28" s="33">
        <v>45347</v>
      </c>
      <c r="D28" s="36">
        <f>2578+36</f>
        <v>2614</v>
      </c>
      <c r="E28" s="39">
        <v>45376</v>
      </c>
      <c r="F28" s="37">
        <v>28</v>
      </c>
      <c r="G28" s="38">
        <v>45408</v>
      </c>
      <c r="H28" s="27">
        <v>178</v>
      </c>
      <c r="I28" s="41">
        <v>45438</v>
      </c>
      <c r="J28" s="25">
        <v>3061</v>
      </c>
      <c r="K28" s="41">
        <v>45469</v>
      </c>
      <c r="L28" s="43">
        <v>1060</v>
      </c>
      <c r="M28" s="48">
        <v>45499</v>
      </c>
      <c r="N28" s="25">
        <v>187</v>
      </c>
      <c r="O28" s="46">
        <v>45530</v>
      </c>
      <c r="P28" s="25">
        <v>116</v>
      </c>
      <c r="Q28" s="46">
        <v>45561</v>
      </c>
      <c r="R28" s="28">
        <v>1224</v>
      </c>
      <c r="S28" s="47">
        <v>45591</v>
      </c>
      <c r="T28" s="29">
        <v>699</v>
      </c>
      <c r="U28" s="46">
        <v>45622</v>
      </c>
      <c r="V28" s="25">
        <v>211</v>
      </c>
      <c r="W28" s="51">
        <v>45652</v>
      </c>
      <c r="X28" s="25">
        <v>2355</v>
      </c>
    </row>
    <row r="29" spans="1:24" x14ac:dyDescent="0.35">
      <c r="A29" s="33">
        <v>45317</v>
      </c>
      <c r="B29" s="23">
        <v>200</v>
      </c>
      <c r="C29" s="33">
        <v>45348</v>
      </c>
      <c r="D29" s="36">
        <v>348</v>
      </c>
      <c r="E29" s="39">
        <v>45377</v>
      </c>
      <c r="F29" s="37">
        <v>33</v>
      </c>
      <c r="G29" s="38">
        <v>45409</v>
      </c>
      <c r="H29" s="27">
        <v>496</v>
      </c>
      <c r="I29" s="42">
        <v>45439</v>
      </c>
      <c r="J29" s="43">
        <v>508</v>
      </c>
      <c r="K29" s="45">
        <v>45470</v>
      </c>
      <c r="L29" s="43">
        <v>1606</v>
      </c>
      <c r="M29" s="48">
        <v>45500</v>
      </c>
      <c r="N29" s="25">
        <v>973</v>
      </c>
      <c r="O29" s="46">
        <v>45531</v>
      </c>
      <c r="P29" s="25">
        <v>271</v>
      </c>
      <c r="Q29" s="46">
        <v>45562</v>
      </c>
      <c r="R29" s="28">
        <v>230</v>
      </c>
      <c r="S29" s="47">
        <v>45592</v>
      </c>
      <c r="T29" s="29">
        <v>3847</v>
      </c>
      <c r="U29" s="46">
        <v>45623</v>
      </c>
      <c r="V29" s="29"/>
      <c r="W29" s="52">
        <v>45653</v>
      </c>
      <c r="X29" s="25">
        <v>1016</v>
      </c>
    </row>
    <row r="30" spans="1:24" x14ac:dyDescent="0.35">
      <c r="A30" s="33">
        <v>45318</v>
      </c>
      <c r="B30" s="23">
        <f>947+9</f>
        <v>956</v>
      </c>
      <c r="C30" s="33">
        <v>45349</v>
      </c>
      <c r="D30" s="36">
        <v>277</v>
      </c>
      <c r="E30" s="39">
        <v>45378</v>
      </c>
      <c r="F30" s="37">
        <v>8</v>
      </c>
      <c r="G30" s="38">
        <v>45410</v>
      </c>
      <c r="H30" s="27">
        <f>2848+35</f>
        <v>2883</v>
      </c>
      <c r="I30" s="41">
        <v>45440</v>
      </c>
      <c r="J30" s="23">
        <v>650</v>
      </c>
      <c r="K30" s="41">
        <v>45471</v>
      </c>
      <c r="L30" s="36">
        <v>825</v>
      </c>
      <c r="M30" s="46">
        <v>45501</v>
      </c>
      <c r="N30" s="25">
        <v>3340</v>
      </c>
      <c r="O30" s="46">
        <v>45532</v>
      </c>
      <c r="P30" s="25">
        <v>203</v>
      </c>
      <c r="Q30" s="47">
        <v>45563</v>
      </c>
      <c r="R30" s="28">
        <v>748</v>
      </c>
      <c r="S30" s="46">
        <v>45593</v>
      </c>
      <c r="T30" s="29">
        <v>357</v>
      </c>
      <c r="U30" s="46">
        <v>45624</v>
      </c>
      <c r="V30" s="25">
        <v>1038</v>
      </c>
      <c r="W30" s="51">
        <v>45654</v>
      </c>
      <c r="X30" s="25">
        <v>2787</v>
      </c>
    </row>
    <row r="31" spans="1:24" x14ac:dyDescent="0.35">
      <c r="A31" s="33">
        <v>45319</v>
      </c>
      <c r="B31" s="23">
        <f>2263+33</f>
        <v>2296</v>
      </c>
      <c r="C31" s="33">
        <v>45350</v>
      </c>
      <c r="D31" s="36">
        <v>447</v>
      </c>
      <c r="E31" s="39">
        <v>45379</v>
      </c>
      <c r="F31" s="37">
        <v>212</v>
      </c>
      <c r="G31" s="38">
        <v>45411</v>
      </c>
      <c r="H31" s="27">
        <v>370</v>
      </c>
      <c r="I31" s="41">
        <v>45441</v>
      </c>
      <c r="J31" s="25">
        <v>393</v>
      </c>
      <c r="K31" s="41">
        <v>45472</v>
      </c>
      <c r="L31" s="43">
        <v>1953</v>
      </c>
      <c r="M31" s="46">
        <v>45502</v>
      </c>
      <c r="N31" s="30">
        <v>122</v>
      </c>
      <c r="O31" s="46">
        <v>45533</v>
      </c>
      <c r="P31" s="30">
        <v>315</v>
      </c>
      <c r="Q31" s="47">
        <v>45564</v>
      </c>
      <c r="R31" s="28">
        <f>3908+74</f>
        <v>3982</v>
      </c>
      <c r="S31" s="46">
        <v>45594</v>
      </c>
      <c r="T31" s="29">
        <v>443</v>
      </c>
      <c r="U31" s="46">
        <v>45625</v>
      </c>
      <c r="V31" s="25">
        <v>418</v>
      </c>
      <c r="W31" s="51">
        <v>45655</v>
      </c>
      <c r="X31" s="25">
        <v>4282</v>
      </c>
    </row>
    <row r="32" spans="1:24" x14ac:dyDescent="0.35">
      <c r="A32" s="33">
        <v>45320</v>
      </c>
      <c r="B32" s="23">
        <v>110</v>
      </c>
      <c r="C32" s="33">
        <v>45351</v>
      </c>
      <c r="D32" s="36">
        <v>224</v>
      </c>
      <c r="E32" s="39">
        <v>45380</v>
      </c>
      <c r="F32" s="37">
        <v>41</v>
      </c>
      <c r="G32" s="38">
        <v>45412</v>
      </c>
      <c r="H32" s="27">
        <v>763</v>
      </c>
      <c r="I32" s="41">
        <v>45442</v>
      </c>
      <c r="J32" s="25">
        <v>596</v>
      </c>
      <c r="K32" s="41">
        <v>45473</v>
      </c>
      <c r="L32" s="43">
        <v>4086</v>
      </c>
      <c r="M32" s="46">
        <v>45503</v>
      </c>
      <c r="N32" s="30">
        <v>81</v>
      </c>
      <c r="O32" s="46">
        <v>45534</v>
      </c>
      <c r="P32" s="30">
        <v>263</v>
      </c>
      <c r="Q32" s="46">
        <v>45565</v>
      </c>
      <c r="R32" s="31">
        <v>836</v>
      </c>
      <c r="S32" s="46">
        <v>45595</v>
      </c>
      <c r="T32" s="32">
        <v>730</v>
      </c>
      <c r="U32" s="46">
        <v>45626</v>
      </c>
      <c r="V32" s="25">
        <v>1165</v>
      </c>
      <c r="W32" s="52">
        <v>45656</v>
      </c>
      <c r="X32" s="25">
        <v>2097</v>
      </c>
    </row>
    <row r="33" spans="1:24" x14ac:dyDescent="0.35">
      <c r="A33" s="33">
        <v>45321</v>
      </c>
      <c r="B33" s="23">
        <v>132</v>
      </c>
      <c r="C33" s="33">
        <v>45351</v>
      </c>
      <c r="D33" s="36">
        <v>224</v>
      </c>
      <c r="E33" s="39">
        <v>45381</v>
      </c>
      <c r="F33" s="37">
        <v>199</v>
      </c>
      <c r="G33" s="26"/>
      <c r="H33" s="26"/>
      <c r="I33" s="41">
        <v>45443</v>
      </c>
      <c r="J33" s="25">
        <v>357</v>
      </c>
      <c r="K33" s="26"/>
      <c r="L33" s="26"/>
      <c r="M33" s="46">
        <v>45504</v>
      </c>
      <c r="N33" s="30">
        <v>84</v>
      </c>
      <c r="O33" s="47">
        <v>45535</v>
      </c>
      <c r="P33" s="30">
        <v>1056</v>
      </c>
      <c r="Q33" s="26"/>
      <c r="R33" s="26"/>
      <c r="S33" s="46">
        <v>45596</v>
      </c>
      <c r="T33" s="32">
        <v>625</v>
      </c>
      <c r="U33" s="26"/>
      <c r="V33" s="26"/>
      <c r="W33" s="52">
        <v>45657</v>
      </c>
      <c r="X33" s="30">
        <v>1900</v>
      </c>
    </row>
    <row r="34" spans="1:24" x14ac:dyDescent="0.35">
      <c r="A34" s="33">
        <v>45322</v>
      </c>
      <c r="B34" s="23">
        <v>206</v>
      </c>
      <c r="C34" s="35"/>
      <c r="D34" s="26"/>
      <c r="E34" s="39">
        <v>45382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8D4D-B2DC-486B-887D-5629E807A682}">
  <dimension ref="A2:X33"/>
  <sheetViews>
    <sheetView tabSelected="1" zoomScale="70" zoomScaleNormal="70" workbookViewId="0">
      <selection activeCell="X2" sqref="X2"/>
    </sheetView>
  </sheetViews>
  <sheetFormatPr defaultRowHeight="14.5" x14ac:dyDescent="0.35"/>
  <cols>
    <col min="1" max="1" width="11.81640625" bestFit="1" customWidth="1"/>
    <col min="2" max="2" width="6.1796875" bestFit="1" customWidth="1"/>
    <col min="3" max="3" width="12.7265625" bestFit="1" customWidth="1"/>
    <col min="4" max="4" width="7" bestFit="1" customWidth="1"/>
    <col min="5" max="5" width="12.7265625" bestFit="1" customWidth="1"/>
    <col min="6" max="6" width="4.453125" bestFit="1" customWidth="1"/>
    <col min="7" max="7" width="12.7265625" bestFit="1" customWidth="1"/>
    <col min="8" max="8" width="6.1796875" bestFit="1" customWidth="1"/>
    <col min="9" max="9" width="12.7265625" bestFit="1" customWidth="1"/>
    <col min="10" max="10" width="6.1796875" bestFit="1" customWidth="1"/>
    <col min="11" max="11" width="12.7265625" bestFit="1" customWidth="1"/>
    <col min="12" max="12" width="6.1796875" bestFit="1" customWidth="1"/>
    <col min="13" max="13" width="12.7265625" bestFit="1" customWidth="1"/>
    <col min="14" max="14" width="6.1796875" bestFit="1" customWidth="1"/>
    <col min="15" max="15" width="12.7265625" bestFit="1" customWidth="1"/>
    <col min="16" max="16" width="6.1796875" bestFit="1" customWidth="1"/>
    <col min="17" max="17" width="12.7265625" bestFit="1" customWidth="1"/>
    <col min="18" max="18" width="6.1796875" bestFit="1" customWidth="1"/>
    <col min="19" max="19" width="12.7265625" bestFit="1" customWidth="1"/>
    <col min="20" max="20" width="6.1796875" bestFit="1" customWidth="1"/>
    <col min="21" max="21" width="11.81640625" bestFit="1" customWidth="1"/>
    <col min="22" max="22" width="6.26953125" bestFit="1" customWidth="1"/>
    <col min="23" max="23" width="13.1796875" bestFit="1" customWidth="1"/>
    <col min="24" max="24" width="7.7265625" bestFit="1" customWidth="1"/>
  </cols>
  <sheetData>
    <row r="2" spans="1:24" x14ac:dyDescent="0.3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</row>
    <row r="3" spans="1:24" ht="15.5" x14ac:dyDescent="0.35">
      <c r="A3" s="67">
        <v>45658</v>
      </c>
      <c r="B3" s="56">
        <v>5445</v>
      </c>
      <c r="C3" s="68">
        <v>45689</v>
      </c>
      <c r="D3" s="57">
        <v>878</v>
      </c>
      <c r="E3" s="69">
        <v>45717</v>
      </c>
      <c r="F3" s="58"/>
      <c r="G3" s="69">
        <v>45748</v>
      </c>
      <c r="H3" s="57">
        <v>2112</v>
      </c>
      <c r="I3" s="68">
        <v>45778</v>
      </c>
      <c r="J3" s="57">
        <v>3278</v>
      </c>
      <c r="K3" s="68">
        <v>45809</v>
      </c>
      <c r="L3" s="57">
        <v>2140</v>
      </c>
      <c r="M3" s="68">
        <v>45839</v>
      </c>
      <c r="N3" s="59">
        <v>1649</v>
      </c>
      <c r="O3" s="68">
        <v>45870</v>
      </c>
      <c r="P3" s="57">
        <v>344</v>
      </c>
      <c r="Q3" s="68">
        <v>45901</v>
      </c>
      <c r="R3" s="57">
        <v>156</v>
      </c>
      <c r="S3" s="68">
        <v>45931</v>
      </c>
      <c r="T3" s="57">
        <v>736</v>
      </c>
      <c r="U3" s="70">
        <v>45962</v>
      </c>
      <c r="V3" s="60">
        <v>1026</v>
      </c>
      <c r="W3" s="71">
        <v>45992</v>
      </c>
      <c r="X3" s="53">
        <v>346</v>
      </c>
    </row>
    <row r="4" spans="1:24" ht="15.5" x14ac:dyDescent="0.35">
      <c r="A4" s="67">
        <v>45659</v>
      </c>
      <c r="B4" s="56">
        <v>2073</v>
      </c>
      <c r="C4" s="68">
        <v>45690</v>
      </c>
      <c r="D4" s="61">
        <v>3092</v>
      </c>
      <c r="E4" s="69">
        <v>45718</v>
      </c>
      <c r="F4" s="58"/>
      <c r="G4" s="69">
        <v>45749</v>
      </c>
      <c r="H4" s="57">
        <v>4545</v>
      </c>
      <c r="I4" s="68">
        <v>45779</v>
      </c>
      <c r="J4" s="57">
        <v>282</v>
      </c>
      <c r="K4" s="68">
        <v>45810</v>
      </c>
      <c r="L4" s="57">
        <v>222</v>
      </c>
      <c r="M4" s="68">
        <v>45840</v>
      </c>
      <c r="N4" s="57">
        <v>2037</v>
      </c>
      <c r="O4" s="68">
        <v>45871</v>
      </c>
      <c r="P4" s="57">
        <v>513</v>
      </c>
      <c r="Q4" s="68">
        <v>45902</v>
      </c>
      <c r="R4" s="57">
        <v>137</v>
      </c>
      <c r="S4" s="68">
        <v>45932</v>
      </c>
      <c r="T4" s="57">
        <v>286</v>
      </c>
      <c r="U4" s="70">
        <v>45963</v>
      </c>
      <c r="V4" s="60">
        <v>3815</v>
      </c>
      <c r="W4" s="71">
        <v>45993</v>
      </c>
      <c r="X4" s="53">
        <v>263</v>
      </c>
    </row>
    <row r="5" spans="1:24" ht="15.5" x14ac:dyDescent="0.35">
      <c r="A5" s="67">
        <v>45660</v>
      </c>
      <c r="B5" s="56">
        <v>1243</v>
      </c>
      <c r="C5" s="68">
        <v>45691</v>
      </c>
      <c r="D5" s="57">
        <v>380</v>
      </c>
      <c r="E5" s="69">
        <v>45719</v>
      </c>
      <c r="F5" s="58"/>
      <c r="G5" s="69">
        <v>45750</v>
      </c>
      <c r="H5" s="57">
        <v>4696</v>
      </c>
      <c r="I5" s="68">
        <v>45780</v>
      </c>
      <c r="J5" s="57">
        <v>928</v>
      </c>
      <c r="K5" s="68">
        <v>45811</v>
      </c>
      <c r="L5" s="57">
        <v>361</v>
      </c>
      <c r="M5" s="68">
        <v>45841</v>
      </c>
      <c r="N5" s="57">
        <v>1702</v>
      </c>
      <c r="O5" s="68">
        <v>45872</v>
      </c>
      <c r="P5" s="57">
        <v>1996</v>
      </c>
      <c r="Q5" s="68">
        <v>45903</v>
      </c>
      <c r="R5" s="57">
        <v>104</v>
      </c>
      <c r="S5" s="68">
        <v>45933</v>
      </c>
      <c r="T5" s="57">
        <v>169</v>
      </c>
      <c r="U5" s="70">
        <v>45964</v>
      </c>
      <c r="V5" s="60">
        <v>407</v>
      </c>
      <c r="W5" s="71">
        <v>45994</v>
      </c>
      <c r="X5" s="53">
        <v>1109</v>
      </c>
    </row>
    <row r="6" spans="1:24" ht="15.5" x14ac:dyDescent="0.35">
      <c r="A6" s="67">
        <v>45661</v>
      </c>
      <c r="B6" s="56">
        <v>2410</v>
      </c>
      <c r="C6" s="68">
        <v>45692</v>
      </c>
      <c r="D6" s="57">
        <v>201</v>
      </c>
      <c r="E6" s="69">
        <v>45720</v>
      </c>
      <c r="F6" s="58"/>
      <c r="G6" s="69">
        <v>45751</v>
      </c>
      <c r="H6" s="57">
        <v>3093</v>
      </c>
      <c r="I6" s="68">
        <v>45781</v>
      </c>
      <c r="J6" s="57">
        <v>3394</v>
      </c>
      <c r="K6" s="68">
        <v>45812</v>
      </c>
      <c r="L6" s="57">
        <v>400</v>
      </c>
      <c r="M6" s="68">
        <v>45842</v>
      </c>
      <c r="N6" s="57">
        <v>905</v>
      </c>
      <c r="O6" s="68">
        <v>45873</v>
      </c>
      <c r="P6" s="57">
        <v>75</v>
      </c>
      <c r="Q6" s="68">
        <v>45904</v>
      </c>
      <c r="R6" s="57">
        <v>237</v>
      </c>
      <c r="S6" s="68">
        <v>45934</v>
      </c>
      <c r="T6" s="57">
        <v>844</v>
      </c>
      <c r="U6" s="70">
        <v>45965</v>
      </c>
      <c r="V6" s="60">
        <v>476</v>
      </c>
      <c r="W6" s="71">
        <v>45995</v>
      </c>
      <c r="X6" s="53">
        <v>835</v>
      </c>
    </row>
    <row r="7" spans="1:24" ht="15.5" x14ac:dyDescent="0.35">
      <c r="A7" s="67">
        <v>45662</v>
      </c>
      <c r="B7" s="56">
        <v>3133</v>
      </c>
      <c r="C7" s="68">
        <v>45693</v>
      </c>
      <c r="D7" s="57">
        <v>258</v>
      </c>
      <c r="E7" s="69">
        <v>45721</v>
      </c>
      <c r="F7" s="58"/>
      <c r="G7" s="69">
        <v>45752</v>
      </c>
      <c r="H7" s="57">
        <v>4669</v>
      </c>
      <c r="I7" s="68">
        <v>45782</v>
      </c>
      <c r="J7" s="57">
        <v>311</v>
      </c>
      <c r="K7" s="68">
        <v>45813</v>
      </c>
      <c r="L7" s="57">
        <v>104</v>
      </c>
      <c r="M7" s="68">
        <v>45843</v>
      </c>
      <c r="N7" s="57">
        <v>2720</v>
      </c>
      <c r="O7" s="68">
        <v>45874</v>
      </c>
      <c r="P7" s="57">
        <v>88</v>
      </c>
      <c r="Q7" s="68">
        <v>45905</v>
      </c>
      <c r="R7" s="57">
        <v>2038</v>
      </c>
      <c r="S7" s="68">
        <v>45935</v>
      </c>
      <c r="T7" s="57">
        <v>3548</v>
      </c>
      <c r="U7" s="70">
        <v>45966</v>
      </c>
      <c r="V7" s="60">
        <v>443</v>
      </c>
      <c r="W7" s="71">
        <v>45996</v>
      </c>
      <c r="X7" s="53">
        <v>110</v>
      </c>
    </row>
    <row r="8" spans="1:24" ht="15.5" x14ac:dyDescent="0.35">
      <c r="A8" s="67">
        <v>45663</v>
      </c>
      <c r="B8" s="56">
        <v>293</v>
      </c>
      <c r="C8" s="68">
        <v>45694</v>
      </c>
      <c r="D8" s="57">
        <v>307</v>
      </c>
      <c r="E8" s="69">
        <v>45722</v>
      </c>
      <c r="F8" s="58"/>
      <c r="G8" s="69">
        <v>45753</v>
      </c>
      <c r="H8" s="57">
        <v>4011</v>
      </c>
      <c r="I8" s="68">
        <v>45783</v>
      </c>
      <c r="J8" s="57">
        <v>235</v>
      </c>
      <c r="K8" s="68">
        <v>45814</v>
      </c>
      <c r="L8" s="57">
        <v>0</v>
      </c>
      <c r="M8" s="68">
        <v>45844</v>
      </c>
      <c r="N8" s="57">
        <v>5700</v>
      </c>
      <c r="O8" s="68">
        <v>45875</v>
      </c>
      <c r="P8" s="57">
        <v>287</v>
      </c>
      <c r="Q8" s="68">
        <v>45906</v>
      </c>
      <c r="R8" s="57">
        <v>845</v>
      </c>
      <c r="S8" s="68">
        <v>45936</v>
      </c>
      <c r="T8" s="57">
        <v>472</v>
      </c>
      <c r="U8" s="70">
        <v>45967</v>
      </c>
      <c r="V8" s="60">
        <v>450</v>
      </c>
      <c r="W8" s="71">
        <v>45997</v>
      </c>
      <c r="X8" s="53">
        <v>1135</v>
      </c>
    </row>
    <row r="9" spans="1:24" ht="15.5" x14ac:dyDescent="0.35">
      <c r="A9" s="67">
        <v>45664</v>
      </c>
      <c r="B9" s="56">
        <v>154</v>
      </c>
      <c r="C9" s="68">
        <v>45695</v>
      </c>
      <c r="D9" s="57">
        <v>229</v>
      </c>
      <c r="E9" s="69">
        <v>45723</v>
      </c>
      <c r="F9" s="58"/>
      <c r="G9" s="69">
        <v>45754</v>
      </c>
      <c r="H9" s="57">
        <v>2996</v>
      </c>
      <c r="I9" s="68">
        <v>45784</v>
      </c>
      <c r="J9" s="57">
        <v>516</v>
      </c>
      <c r="K9" s="68">
        <v>45815</v>
      </c>
      <c r="L9" s="57">
        <v>1147</v>
      </c>
      <c r="M9" s="68">
        <v>45845</v>
      </c>
      <c r="N9" s="57">
        <v>2323</v>
      </c>
      <c r="O9" s="68">
        <v>45876</v>
      </c>
      <c r="P9" s="57">
        <v>0</v>
      </c>
      <c r="Q9" s="68">
        <v>45907</v>
      </c>
      <c r="R9" s="57">
        <v>3765</v>
      </c>
      <c r="S9" s="68">
        <v>45937</v>
      </c>
      <c r="T9" s="57">
        <v>578</v>
      </c>
      <c r="U9" s="70">
        <v>45968</v>
      </c>
      <c r="V9" s="60">
        <v>237</v>
      </c>
      <c r="W9" s="71">
        <v>45998</v>
      </c>
      <c r="X9" s="53">
        <v>2701</v>
      </c>
    </row>
    <row r="10" spans="1:24" ht="15.5" x14ac:dyDescent="0.35">
      <c r="A10" s="67">
        <v>45665</v>
      </c>
      <c r="B10" s="56">
        <v>492</v>
      </c>
      <c r="C10" s="68">
        <v>45696</v>
      </c>
      <c r="D10" s="57">
        <v>1310</v>
      </c>
      <c r="E10" s="69">
        <v>45724</v>
      </c>
      <c r="F10" s="58"/>
      <c r="G10" s="69">
        <v>45755</v>
      </c>
      <c r="H10" s="57">
        <v>1528</v>
      </c>
      <c r="I10" s="68">
        <v>45785</v>
      </c>
      <c r="J10" s="57">
        <v>385</v>
      </c>
      <c r="K10" s="68">
        <v>45816</v>
      </c>
      <c r="L10" s="57">
        <v>3313</v>
      </c>
      <c r="M10" s="68">
        <v>45846</v>
      </c>
      <c r="N10" s="57">
        <v>2689</v>
      </c>
      <c r="O10" s="68">
        <v>45877</v>
      </c>
      <c r="P10" s="57">
        <v>106</v>
      </c>
      <c r="Q10" s="68">
        <v>45908</v>
      </c>
      <c r="R10" s="57">
        <v>84</v>
      </c>
      <c r="S10" s="68">
        <v>45938</v>
      </c>
      <c r="T10" s="57">
        <v>413</v>
      </c>
      <c r="U10" s="70">
        <v>45969</v>
      </c>
      <c r="V10" s="60">
        <v>821</v>
      </c>
      <c r="W10" s="71">
        <v>45999</v>
      </c>
      <c r="X10" s="53">
        <v>1128</v>
      </c>
    </row>
    <row r="11" spans="1:24" ht="15.5" x14ac:dyDescent="0.35">
      <c r="A11" s="67">
        <v>45666</v>
      </c>
      <c r="B11" s="56">
        <v>538</v>
      </c>
      <c r="C11" s="68">
        <v>45697</v>
      </c>
      <c r="D11" s="57">
        <v>3173</v>
      </c>
      <c r="E11" s="69">
        <v>45725</v>
      </c>
      <c r="F11" s="58">
        <v>207</v>
      </c>
      <c r="G11" s="69">
        <v>45756</v>
      </c>
      <c r="H11" s="57">
        <v>533</v>
      </c>
      <c r="I11" s="68">
        <v>45786</v>
      </c>
      <c r="J11" s="57">
        <v>330</v>
      </c>
      <c r="K11" s="68">
        <v>45817</v>
      </c>
      <c r="L11" s="57">
        <v>1295</v>
      </c>
      <c r="M11" s="68">
        <v>45847</v>
      </c>
      <c r="N11" s="57">
        <v>2162</v>
      </c>
      <c r="O11" s="68">
        <v>45878</v>
      </c>
      <c r="P11" s="57">
        <v>505</v>
      </c>
      <c r="Q11" s="68">
        <v>45909</v>
      </c>
      <c r="R11" s="57">
        <v>680</v>
      </c>
      <c r="S11" s="68">
        <v>45939</v>
      </c>
      <c r="T11" s="57">
        <v>734</v>
      </c>
      <c r="U11" s="70">
        <v>45970</v>
      </c>
      <c r="V11" s="60">
        <v>3257</v>
      </c>
      <c r="W11" s="71">
        <v>46000</v>
      </c>
      <c r="X11" s="53">
        <v>1791</v>
      </c>
    </row>
    <row r="12" spans="1:24" ht="15.5" x14ac:dyDescent="0.35">
      <c r="A12" s="67">
        <v>45667</v>
      </c>
      <c r="B12" s="56">
        <v>200</v>
      </c>
      <c r="C12" s="68">
        <v>45698</v>
      </c>
      <c r="D12" s="57">
        <v>224</v>
      </c>
      <c r="E12" s="69">
        <v>45726</v>
      </c>
      <c r="F12" s="58">
        <v>84</v>
      </c>
      <c r="G12" s="69">
        <v>45757</v>
      </c>
      <c r="H12" s="57">
        <v>333</v>
      </c>
      <c r="I12" s="68">
        <v>45787</v>
      </c>
      <c r="J12" s="57">
        <v>520</v>
      </c>
      <c r="K12" s="68">
        <v>45818</v>
      </c>
      <c r="L12" s="57">
        <v>1589</v>
      </c>
      <c r="M12" s="68">
        <v>45848</v>
      </c>
      <c r="N12" s="57">
        <v>1916</v>
      </c>
      <c r="O12" s="68">
        <v>45879</v>
      </c>
      <c r="P12" s="57">
        <v>1778</v>
      </c>
      <c r="Q12" s="68">
        <v>45910</v>
      </c>
      <c r="R12" s="57">
        <v>195</v>
      </c>
      <c r="S12" s="68">
        <v>45940</v>
      </c>
      <c r="T12" s="57">
        <v>202</v>
      </c>
      <c r="U12" s="70">
        <v>45971</v>
      </c>
      <c r="V12" s="60">
        <v>341</v>
      </c>
      <c r="W12" s="71">
        <v>46001</v>
      </c>
      <c r="X12" s="53">
        <v>1917</v>
      </c>
    </row>
    <row r="13" spans="1:24" ht="15.5" x14ac:dyDescent="0.35">
      <c r="A13" s="67">
        <v>45668</v>
      </c>
      <c r="B13" s="56">
        <v>942</v>
      </c>
      <c r="C13" s="68">
        <v>45699</v>
      </c>
      <c r="D13" s="57">
        <v>253</v>
      </c>
      <c r="E13" s="69">
        <v>45727</v>
      </c>
      <c r="F13" s="58">
        <v>11</v>
      </c>
      <c r="G13" s="69">
        <v>45758</v>
      </c>
      <c r="H13" s="57">
        <v>361</v>
      </c>
      <c r="I13" s="68">
        <v>45788</v>
      </c>
      <c r="J13" s="57">
        <v>3842</v>
      </c>
      <c r="K13" s="68">
        <v>45819</v>
      </c>
      <c r="L13" s="57">
        <v>1547</v>
      </c>
      <c r="M13" s="68">
        <v>45849</v>
      </c>
      <c r="N13" s="57">
        <v>940</v>
      </c>
      <c r="O13" s="68">
        <v>45880</v>
      </c>
      <c r="P13" s="57">
        <v>45</v>
      </c>
      <c r="Q13" s="68">
        <v>45911</v>
      </c>
      <c r="R13" s="57">
        <v>263</v>
      </c>
      <c r="S13" s="68">
        <v>45941</v>
      </c>
      <c r="T13" s="57">
        <v>667</v>
      </c>
      <c r="U13" s="70">
        <v>45972</v>
      </c>
      <c r="V13" s="60">
        <v>310</v>
      </c>
      <c r="W13" s="71">
        <v>46002</v>
      </c>
      <c r="X13" s="53">
        <v>1800</v>
      </c>
    </row>
    <row r="14" spans="1:24" ht="15.5" x14ac:dyDescent="0.35">
      <c r="A14" s="67">
        <v>45669</v>
      </c>
      <c r="B14" s="56">
        <v>3175</v>
      </c>
      <c r="C14" s="68">
        <v>45700</v>
      </c>
      <c r="D14" s="57">
        <v>559</v>
      </c>
      <c r="E14" s="69">
        <v>45728</v>
      </c>
      <c r="F14" s="58">
        <v>21</v>
      </c>
      <c r="G14" s="69">
        <v>45759</v>
      </c>
      <c r="H14" s="57">
        <v>944</v>
      </c>
      <c r="I14" s="68">
        <v>45789</v>
      </c>
      <c r="J14" s="57">
        <v>3802</v>
      </c>
      <c r="K14" s="68">
        <v>45820</v>
      </c>
      <c r="L14" s="57">
        <v>2094</v>
      </c>
      <c r="M14" s="68">
        <v>45850</v>
      </c>
      <c r="N14" s="57">
        <v>2486</v>
      </c>
      <c r="O14" s="68">
        <v>45881</v>
      </c>
      <c r="P14" s="57">
        <v>253</v>
      </c>
      <c r="Q14" s="68">
        <v>45912</v>
      </c>
      <c r="R14" s="57">
        <v>216</v>
      </c>
      <c r="S14" s="68">
        <v>45942</v>
      </c>
      <c r="T14" s="57">
        <v>3796</v>
      </c>
      <c r="U14" s="70">
        <v>45973</v>
      </c>
      <c r="V14" s="60">
        <v>414</v>
      </c>
      <c r="W14" s="71">
        <v>46003</v>
      </c>
      <c r="X14" s="53">
        <v>282</v>
      </c>
    </row>
    <row r="15" spans="1:24" ht="15.5" x14ac:dyDescent="0.35">
      <c r="A15" s="67">
        <v>45670</v>
      </c>
      <c r="B15" s="56">
        <v>276</v>
      </c>
      <c r="C15" s="68">
        <v>45701</v>
      </c>
      <c r="D15" s="57">
        <v>543</v>
      </c>
      <c r="E15" s="69">
        <v>45729</v>
      </c>
      <c r="F15" s="58">
        <v>8</v>
      </c>
      <c r="G15" s="69">
        <v>45760</v>
      </c>
      <c r="H15" s="57">
        <v>3001</v>
      </c>
      <c r="I15" s="68">
        <v>45790</v>
      </c>
      <c r="J15" s="57">
        <v>1558</v>
      </c>
      <c r="K15" s="68">
        <v>45821</v>
      </c>
      <c r="L15" s="57">
        <v>656</v>
      </c>
      <c r="M15" s="68">
        <v>45851</v>
      </c>
      <c r="N15" s="57">
        <v>4217</v>
      </c>
      <c r="O15" s="68">
        <v>45882</v>
      </c>
      <c r="P15" s="57">
        <v>72</v>
      </c>
      <c r="Q15" s="68">
        <v>45913</v>
      </c>
      <c r="R15" s="57">
        <v>711</v>
      </c>
      <c r="S15" s="68">
        <v>45943</v>
      </c>
      <c r="T15" s="57">
        <v>645</v>
      </c>
      <c r="U15" s="70">
        <v>45974</v>
      </c>
      <c r="V15" s="60">
        <v>484</v>
      </c>
      <c r="W15" s="71">
        <v>46004</v>
      </c>
      <c r="X15" s="53">
        <v>1663</v>
      </c>
    </row>
    <row r="16" spans="1:24" ht="15.5" x14ac:dyDescent="0.35">
      <c r="A16" s="67">
        <v>45671</v>
      </c>
      <c r="B16" s="56">
        <v>543</v>
      </c>
      <c r="C16" s="68">
        <v>45702</v>
      </c>
      <c r="D16" s="57">
        <v>366</v>
      </c>
      <c r="E16" s="69">
        <v>45730</v>
      </c>
      <c r="F16" s="58">
        <v>9</v>
      </c>
      <c r="G16" s="69">
        <v>45761</v>
      </c>
      <c r="H16" s="57">
        <v>165</v>
      </c>
      <c r="I16" s="68">
        <v>45791</v>
      </c>
      <c r="J16" s="57">
        <v>213</v>
      </c>
      <c r="K16" s="68">
        <v>45822</v>
      </c>
      <c r="L16" s="57">
        <v>1696</v>
      </c>
      <c r="M16" s="68">
        <v>45852</v>
      </c>
      <c r="N16" s="57">
        <v>148</v>
      </c>
      <c r="O16" s="68">
        <v>45883</v>
      </c>
      <c r="P16" s="57">
        <v>128</v>
      </c>
      <c r="Q16" s="68">
        <v>45914</v>
      </c>
      <c r="R16" s="57">
        <v>3604</v>
      </c>
      <c r="S16" s="68">
        <v>45944</v>
      </c>
      <c r="T16" s="57">
        <v>1020</v>
      </c>
      <c r="U16" s="70">
        <v>45975</v>
      </c>
      <c r="V16" s="60">
        <v>140</v>
      </c>
      <c r="W16" s="71">
        <v>46005</v>
      </c>
      <c r="X16" s="53">
        <v>2737</v>
      </c>
    </row>
    <row r="17" spans="1:24" ht="15.5" x14ac:dyDescent="0.35">
      <c r="A17" s="67">
        <v>45672</v>
      </c>
      <c r="B17" s="56">
        <v>712</v>
      </c>
      <c r="C17" s="68">
        <v>45703</v>
      </c>
      <c r="D17" s="57">
        <v>1131</v>
      </c>
      <c r="E17" s="69">
        <v>45731</v>
      </c>
      <c r="F17" s="58">
        <v>116</v>
      </c>
      <c r="G17" s="69">
        <v>45762</v>
      </c>
      <c r="H17" s="57">
        <v>363</v>
      </c>
      <c r="I17" s="68">
        <v>45792</v>
      </c>
      <c r="J17" s="57">
        <v>381</v>
      </c>
      <c r="K17" s="68">
        <v>45823</v>
      </c>
      <c r="L17" s="57">
        <v>2841</v>
      </c>
      <c r="M17" s="68">
        <v>45853</v>
      </c>
      <c r="N17" s="57">
        <v>453</v>
      </c>
      <c r="O17" s="68">
        <v>45884</v>
      </c>
      <c r="P17" s="57">
        <v>155</v>
      </c>
      <c r="Q17" s="68">
        <v>45915</v>
      </c>
      <c r="R17" s="57">
        <v>271</v>
      </c>
      <c r="S17" s="68">
        <v>45945</v>
      </c>
      <c r="T17" s="57">
        <v>587</v>
      </c>
      <c r="U17" s="70">
        <v>45976</v>
      </c>
      <c r="V17" s="60">
        <v>893</v>
      </c>
      <c r="W17" s="71">
        <v>46006</v>
      </c>
      <c r="X17" s="53">
        <v>2509</v>
      </c>
    </row>
    <row r="18" spans="1:24" ht="15.5" x14ac:dyDescent="0.35">
      <c r="A18" s="67">
        <v>45673</v>
      </c>
      <c r="B18" s="56">
        <v>311</v>
      </c>
      <c r="C18" s="68">
        <v>45704</v>
      </c>
      <c r="D18" s="57">
        <v>3981</v>
      </c>
      <c r="E18" s="69">
        <v>45732</v>
      </c>
      <c r="F18" s="58">
        <v>89</v>
      </c>
      <c r="G18" s="69">
        <v>45763</v>
      </c>
      <c r="H18" s="57">
        <v>331</v>
      </c>
      <c r="I18" s="68">
        <v>45793</v>
      </c>
      <c r="J18" s="57">
        <v>242</v>
      </c>
      <c r="K18" s="68">
        <v>45824</v>
      </c>
      <c r="L18" s="57">
        <v>1818</v>
      </c>
      <c r="M18" s="68">
        <v>45854</v>
      </c>
      <c r="N18" s="57">
        <v>495</v>
      </c>
      <c r="O18" s="68">
        <v>45885</v>
      </c>
      <c r="P18" s="57">
        <v>0</v>
      </c>
      <c r="Q18" s="68">
        <v>45916</v>
      </c>
      <c r="R18" s="57">
        <v>421</v>
      </c>
      <c r="S18" s="68">
        <v>45946</v>
      </c>
      <c r="T18" s="57">
        <v>976</v>
      </c>
      <c r="U18" s="70">
        <v>45977</v>
      </c>
      <c r="V18" s="60">
        <v>3376</v>
      </c>
      <c r="W18" s="71">
        <v>46007</v>
      </c>
      <c r="X18" s="53">
        <v>2869</v>
      </c>
    </row>
    <row r="19" spans="1:24" ht="15.5" x14ac:dyDescent="0.35">
      <c r="A19" s="67">
        <v>45674</v>
      </c>
      <c r="B19" s="56">
        <v>69</v>
      </c>
      <c r="C19" s="68">
        <v>45705</v>
      </c>
      <c r="D19" s="57">
        <v>708</v>
      </c>
      <c r="E19" s="69">
        <v>45733</v>
      </c>
      <c r="F19" s="58">
        <v>13</v>
      </c>
      <c r="G19" s="69">
        <v>45764</v>
      </c>
      <c r="H19" s="57">
        <v>629</v>
      </c>
      <c r="I19" s="68">
        <v>45794</v>
      </c>
      <c r="J19" s="57">
        <v>1204</v>
      </c>
      <c r="K19" s="68">
        <v>45825</v>
      </c>
      <c r="L19" s="57">
        <v>2791</v>
      </c>
      <c r="M19" s="68">
        <v>45855</v>
      </c>
      <c r="N19" s="57">
        <v>173</v>
      </c>
      <c r="O19" s="68">
        <v>45886</v>
      </c>
      <c r="P19" s="57">
        <v>1922</v>
      </c>
      <c r="Q19" s="68">
        <v>45917</v>
      </c>
      <c r="R19" s="57">
        <v>342</v>
      </c>
      <c r="S19" s="68">
        <v>45947</v>
      </c>
      <c r="T19" s="57">
        <v>273</v>
      </c>
      <c r="U19" s="70">
        <v>45978</v>
      </c>
      <c r="V19" s="60">
        <v>133</v>
      </c>
      <c r="W19" s="71">
        <v>46008</v>
      </c>
      <c r="X19" s="53">
        <v>3051</v>
      </c>
    </row>
    <row r="20" spans="1:24" ht="15.5" x14ac:dyDescent="0.35">
      <c r="A20" s="67">
        <v>45675</v>
      </c>
      <c r="B20" s="56">
        <v>401</v>
      </c>
      <c r="C20" s="68">
        <v>45706</v>
      </c>
      <c r="D20" s="57">
        <v>762</v>
      </c>
      <c r="E20" s="69">
        <v>45734</v>
      </c>
      <c r="F20" s="58">
        <v>16</v>
      </c>
      <c r="G20" s="69">
        <v>45765</v>
      </c>
      <c r="H20" s="57">
        <v>1968</v>
      </c>
      <c r="I20" s="68">
        <v>45795</v>
      </c>
      <c r="J20" s="57">
        <v>3321</v>
      </c>
      <c r="K20" s="68">
        <v>45826</v>
      </c>
      <c r="L20" s="57">
        <v>2739</v>
      </c>
      <c r="M20" s="68">
        <v>45856</v>
      </c>
      <c r="N20" s="57">
        <v>233</v>
      </c>
      <c r="O20" s="68">
        <v>45887</v>
      </c>
      <c r="P20" s="57">
        <v>1737</v>
      </c>
      <c r="Q20" s="68">
        <v>45918</v>
      </c>
      <c r="R20" s="57">
        <v>813</v>
      </c>
      <c r="S20" s="68">
        <v>45948</v>
      </c>
      <c r="T20" s="57">
        <v>1688</v>
      </c>
      <c r="U20" s="70">
        <v>45979</v>
      </c>
      <c r="V20" s="60">
        <v>349</v>
      </c>
      <c r="W20" s="71">
        <v>46009</v>
      </c>
      <c r="X20" s="53">
        <v>2406</v>
      </c>
    </row>
    <row r="21" spans="1:24" ht="15.5" x14ac:dyDescent="0.35">
      <c r="A21" s="67">
        <v>45676</v>
      </c>
      <c r="B21" s="56">
        <v>3017</v>
      </c>
      <c r="C21" s="68">
        <v>45707</v>
      </c>
      <c r="D21" s="57">
        <v>505</v>
      </c>
      <c r="E21" s="69">
        <v>45735</v>
      </c>
      <c r="F21" s="58">
        <v>6</v>
      </c>
      <c r="G21" s="69">
        <v>45766</v>
      </c>
      <c r="H21" s="57">
        <v>1324</v>
      </c>
      <c r="I21" s="68">
        <v>45796</v>
      </c>
      <c r="J21" s="57">
        <v>267</v>
      </c>
      <c r="K21" s="68">
        <v>45827</v>
      </c>
      <c r="L21" s="57">
        <v>2126</v>
      </c>
      <c r="M21" s="68">
        <v>45857</v>
      </c>
      <c r="N21" s="57">
        <v>840</v>
      </c>
      <c r="O21" s="68">
        <v>45888</v>
      </c>
      <c r="P21" s="57">
        <v>302</v>
      </c>
      <c r="Q21" s="68">
        <v>45919</v>
      </c>
      <c r="R21" s="57">
        <v>366</v>
      </c>
      <c r="S21" s="68">
        <v>45949</v>
      </c>
      <c r="T21" s="57">
        <v>3734</v>
      </c>
      <c r="U21" s="70">
        <v>45980</v>
      </c>
      <c r="V21" s="60">
        <v>548</v>
      </c>
      <c r="W21" s="71">
        <v>46010</v>
      </c>
      <c r="X21" s="53">
        <v>454</v>
      </c>
    </row>
    <row r="22" spans="1:24" ht="15.5" x14ac:dyDescent="0.35">
      <c r="A22" s="67">
        <v>45677</v>
      </c>
      <c r="B22" s="56">
        <v>321</v>
      </c>
      <c r="C22" s="68">
        <v>45708</v>
      </c>
      <c r="D22" s="57">
        <v>788</v>
      </c>
      <c r="E22" s="69">
        <v>45736</v>
      </c>
      <c r="F22" s="58">
        <v>18</v>
      </c>
      <c r="G22" s="69">
        <v>45767</v>
      </c>
      <c r="H22" s="57">
        <v>3666</v>
      </c>
      <c r="I22" s="68">
        <v>45797</v>
      </c>
      <c r="J22" s="57">
        <v>728</v>
      </c>
      <c r="K22" s="68">
        <v>45828</v>
      </c>
      <c r="L22" s="57">
        <v>782</v>
      </c>
      <c r="M22" s="68">
        <v>45858</v>
      </c>
      <c r="N22" s="57">
        <v>3516</v>
      </c>
      <c r="O22" s="68">
        <v>45889</v>
      </c>
      <c r="P22" s="57">
        <v>167</v>
      </c>
      <c r="Q22" s="68">
        <v>45920</v>
      </c>
      <c r="R22" s="57">
        <v>834</v>
      </c>
      <c r="S22" s="68">
        <v>45950</v>
      </c>
      <c r="T22" s="57">
        <v>552</v>
      </c>
      <c r="U22" s="70">
        <v>45981</v>
      </c>
      <c r="V22" s="60">
        <v>1334</v>
      </c>
      <c r="W22" s="71">
        <v>46011</v>
      </c>
      <c r="X22" s="53">
        <v>926</v>
      </c>
    </row>
    <row r="23" spans="1:24" ht="15.5" x14ac:dyDescent="0.35">
      <c r="A23" s="67">
        <v>45678</v>
      </c>
      <c r="B23" s="56">
        <v>274</v>
      </c>
      <c r="C23" s="68">
        <v>45709</v>
      </c>
      <c r="D23" s="57">
        <v>287</v>
      </c>
      <c r="E23" s="69">
        <v>45737</v>
      </c>
      <c r="F23" s="58">
        <v>47</v>
      </c>
      <c r="G23" s="69">
        <v>45768</v>
      </c>
      <c r="H23" s="57">
        <v>367</v>
      </c>
      <c r="I23" s="68">
        <v>45798</v>
      </c>
      <c r="J23" s="57">
        <v>641</v>
      </c>
      <c r="K23" s="68">
        <v>45829</v>
      </c>
      <c r="L23" s="57">
        <v>1697</v>
      </c>
      <c r="M23" s="68">
        <v>45859</v>
      </c>
      <c r="N23" s="57">
        <v>62</v>
      </c>
      <c r="O23" s="68">
        <v>45890</v>
      </c>
      <c r="P23" s="57">
        <v>240</v>
      </c>
      <c r="Q23" s="68">
        <v>45921</v>
      </c>
      <c r="R23" s="57">
        <v>3611</v>
      </c>
      <c r="S23" s="68">
        <v>45951</v>
      </c>
      <c r="T23" s="57">
        <v>356</v>
      </c>
      <c r="U23" s="70">
        <v>45982</v>
      </c>
      <c r="V23" s="60">
        <v>155</v>
      </c>
      <c r="W23" s="71">
        <v>46012</v>
      </c>
      <c r="X23" s="53">
        <v>4051</v>
      </c>
    </row>
    <row r="24" spans="1:24" ht="15.5" x14ac:dyDescent="0.35">
      <c r="A24" s="67">
        <v>45679</v>
      </c>
      <c r="B24" s="56">
        <v>315</v>
      </c>
      <c r="C24" s="68">
        <v>45710</v>
      </c>
      <c r="D24" s="57">
        <v>1332</v>
      </c>
      <c r="E24" s="69">
        <v>45738</v>
      </c>
      <c r="F24" s="58">
        <v>48</v>
      </c>
      <c r="G24" s="69">
        <v>45769</v>
      </c>
      <c r="H24" s="57">
        <v>340</v>
      </c>
      <c r="I24" s="68">
        <v>45799</v>
      </c>
      <c r="J24" s="57">
        <v>515</v>
      </c>
      <c r="K24" s="68">
        <v>45830</v>
      </c>
      <c r="L24" s="57">
        <v>3157</v>
      </c>
      <c r="M24" s="68">
        <v>45860</v>
      </c>
      <c r="N24" s="57">
        <v>80</v>
      </c>
      <c r="O24" s="68">
        <v>45891</v>
      </c>
      <c r="P24" s="57">
        <v>134</v>
      </c>
      <c r="Q24" s="68">
        <v>45922</v>
      </c>
      <c r="R24" s="57">
        <v>236</v>
      </c>
      <c r="S24" s="68">
        <v>45952</v>
      </c>
      <c r="T24" s="57">
        <v>497</v>
      </c>
      <c r="U24" s="70">
        <v>45983</v>
      </c>
      <c r="V24" s="60">
        <v>679</v>
      </c>
      <c r="W24" s="71">
        <v>46013</v>
      </c>
      <c r="X24" s="53">
        <v>1376</v>
      </c>
    </row>
    <row r="25" spans="1:24" ht="15.5" x14ac:dyDescent="0.35">
      <c r="A25" s="67">
        <v>45680</v>
      </c>
      <c r="B25" s="56">
        <v>653</v>
      </c>
      <c r="C25" s="68">
        <v>45711</v>
      </c>
      <c r="D25" s="57">
        <v>3424</v>
      </c>
      <c r="E25" s="69">
        <v>45739</v>
      </c>
      <c r="F25" s="58">
        <v>86</v>
      </c>
      <c r="G25" s="69">
        <v>45770</v>
      </c>
      <c r="H25" s="57">
        <v>467</v>
      </c>
      <c r="I25" s="68">
        <v>45800</v>
      </c>
      <c r="J25" s="57">
        <v>160</v>
      </c>
      <c r="K25" s="68">
        <v>45831</v>
      </c>
      <c r="L25" s="57">
        <v>1539</v>
      </c>
      <c r="M25" s="68">
        <v>45861</v>
      </c>
      <c r="N25" s="57">
        <v>98</v>
      </c>
      <c r="O25" s="68">
        <v>45892</v>
      </c>
      <c r="P25" s="57">
        <v>341</v>
      </c>
      <c r="Q25" s="68">
        <v>45923</v>
      </c>
      <c r="R25" s="57">
        <v>586</v>
      </c>
      <c r="S25" s="68">
        <v>45953</v>
      </c>
      <c r="T25" s="57">
        <v>672</v>
      </c>
      <c r="U25" s="70">
        <v>45984</v>
      </c>
      <c r="V25" s="60">
        <v>2675</v>
      </c>
      <c r="W25" s="71">
        <v>46014</v>
      </c>
      <c r="X25" s="53">
        <v>1628</v>
      </c>
    </row>
    <row r="26" spans="1:24" ht="15.5" x14ac:dyDescent="0.35">
      <c r="A26" s="67">
        <v>45681</v>
      </c>
      <c r="B26" s="56">
        <v>376</v>
      </c>
      <c r="C26" s="68">
        <v>45712</v>
      </c>
      <c r="D26" s="57">
        <v>686</v>
      </c>
      <c r="E26" s="69">
        <v>45740</v>
      </c>
      <c r="F26" s="58">
        <v>19</v>
      </c>
      <c r="G26" s="69">
        <v>45771</v>
      </c>
      <c r="H26" s="57">
        <v>498</v>
      </c>
      <c r="I26" s="68">
        <v>45801</v>
      </c>
      <c r="J26" s="57">
        <v>1067</v>
      </c>
      <c r="K26" s="68">
        <v>45832</v>
      </c>
      <c r="L26" s="57">
        <v>1508</v>
      </c>
      <c r="M26" s="68">
        <v>45862</v>
      </c>
      <c r="N26" s="57">
        <v>85</v>
      </c>
      <c r="O26" s="68">
        <v>45893</v>
      </c>
      <c r="P26" s="57">
        <v>2008</v>
      </c>
      <c r="Q26" s="68">
        <v>45924</v>
      </c>
      <c r="R26" s="57">
        <v>772</v>
      </c>
      <c r="S26" s="68">
        <v>45954</v>
      </c>
      <c r="T26" s="57">
        <v>279</v>
      </c>
      <c r="U26" s="70">
        <v>45985</v>
      </c>
      <c r="V26" s="60">
        <v>287</v>
      </c>
      <c r="W26" s="71">
        <v>46015</v>
      </c>
      <c r="X26" s="53">
        <v>1772</v>
      </c>
    </row>
    <row r="27" spans="1:24" ht="15.5" x14ac:dyDescent="0.35">
      <c r="A27" s="67">
        <v>45682</v>
      </c>
      <c r="B27" s="56">
        <v>865</v>
      </c>
      <c r="C27" s="68">
        <v>45713</v>
      </c>
      <c r="D27" s="57">
        <v>798</v>
      </c>
      <c r="E27" s="69">
        <v>45741</v>
      </c>
      <c r="F27" s="58">
        <v>32</v>
      </c>
      <c r="G27" s="69">
        <v>45772</v>
      </c>
      <c r="H27" s="57">
        <v>364</v>
      </c>
      <c r="I27" s="68">
        <v>45802</v>
      </c>
      <c r="J27" s="57">
        <v>2348</v>
      </c>
      <c r="K27" s="68">
        <v>45833</v>
      </c>
      <c r="L27" s="57">
        <v>1727</v>
      </c>
      <c r="M27" s="68">
        <v>45863</v>
      </c>
      <c r="N27" s="57">
        <v>211</v>
      </c>
      <c r="O27" s="68">
        <v>45894</v>
      </c>
      <c r="P27" s="57">
        <v>169</v>
      </c>
      <c r="Q27" s="68">
        <v>45925</v>
      </c>
      <c r="R27" s="57">
        <v>822</v>
      </c>
      <c r="S27" s="68">
        <v>45955</v>
      </c>
      <c r="T27" s="57">
        <v>1055</v>
      </c>
      <c r="U27" s="70">
        <v>45986</v>
      </c>
      <c r="V27" s="60">
        <v>371</v>
      </c>
      <c r="W27" s="71">
        <v>46016</v>
      </c>
      <c r="X27" s="53">
        <v>3413</v>
      </c>
    </row>
    <row r="28" spans="1:24" ht="15.5" x14ac:dyDescent="0.35">
      <c r="A28" s="67">
        <v>45683</v>
      </c>
      <c r="B28" s="56">
        <v>3508</v>
      </c>
      <c r="C28" s="68">
        <v>45714</v>
      </c>
      <c r="D28" s="57">
        <v>686</v>
      </c>
      <c r="E28" s="69">
        <v>45742</v>
      </c>
      <c r="F28" s="58">
        <v>38</v>
      </c>
      <c r="G28" s="69">
        <v>45773</v>
      </c>
      <c r="H28" s="57">
        <v>1129</v>
      </c>
      <c r="I28" s="68">
        <v>45803</v>
      </c>
      <c r="J28" s="57">
        <v>354</v>
      </c>
      <c r="K28" s="68">
        <v>45834</v>
      </c>
      <c r="L28" s="57">
        <v>1173</v>
      </c>
      <c r="M28" s="68">
        <v>45864</v>
      </c>
      <c r="N28" s="57">
        <v>824</v>
      </c>
      <c r="O28" s="68">
        <v>45895</v>
      </c>
      <c r="P28" s="57">
        <v>175</v>
      </c>
      <c r="Q28" s="68">
        <v>45926</v>
      </c>
      <c r="R28" s="57">
        <v>280</v>
      </c>
      <c r="S28" s="68">
        <v>45956</v>
      </c>
      <c r="T28" s="57">
        <v>3043</v>
      </c>
      <c r="U28" s="70">
        <v>45987</v>
      </c>
      <c r="V28" s="60">
        <v>216</v>
      </c>
      <c r="W28" s="71">
        <v>46017</v>
      </c>
      <c r="X28" s="53">
        <v>1563</v>
      </c>
    </row>
    <row r="29" spans="1:24" ht="15.5" x14ac:dyDescent="0.35">
      <c r="A29" s="67">
        <v>45684</v>
      </c>
      <c r="B29" s="56">
        <v>3142</v>
      </c>
      <c r="C29" s="68">
        <v>45715</v>
      </c>
      <c r="D29" s="57">
        <v>1406</v>
      </c>
      <c r="E29" s="69">
        <v>45743</v>
      </c>
      <c r="F29" s="58"/>
      <c r="G29" s="69">
        <v>45774</v>
      </c>
      <c r="H29" s="57">
        <v>3740</v>
      </c>
      <c r="I29" s="68">
        <v>45804</v>
      </c>
      <c r="J29" s="57">
        <v>993</v>
      </c>
      <c r="K29" s="68">
        <v>45835</v>
      </c>
      <c r="L29" s="57">
        <v>1792</v>
      </c>
      <c r="M29" s="68">
        <v>45865</v>
      </c>
      <c r="N29" s="57">
        <v>3030</v>
      </c>
      <c r="O29" s="68">
        <v>45896</v>
      </c>
      <c r="P29" s="57">
        <v>184</v>
      </c>
      <c r="Q29" s="68">
        <v>45927</v>
      </c>
      <c r="R29" s="57">
        <v>896</v>
      </c>
      <c r="S29" s="68">
        <v>45957</v>
      </c>
      <c r="T29" s="57">
        <v>317</v>
      </c>
      <c r="U29" s="70">
        <v>45988</v>
      </c>
      <c r="V29" s="60">
        <v>556</v>
      </c>
      <c r="W29" s="71">
        <v>46018</v>
      </c>
      <c r="X29" s="53">
        <v>2688</v>
      </c>
    </row>
    <row r="30" spans="1:24" ht="15.5" x14ac:dyDescent="0.35">
      <c r="A30" s="67">
        <v>45685</v>
      </c>
      <c r="B30" s="62">
        <v>2033</v>
      </c>
      <c r="C30" s="68">
        <v>45716</v>
      </c>
      <c r="D30" s="63">
        <v>1978</v>
      </c>
      <c r="E30" s="69">
        <v>45744</v>
      </c>
      <c r="F30" s="64"/>
      <c r="G30" s="69">
        <v>45775</v>
      </c>
      <c r="H30" s="63">
        <v>761</v>
      </c>
      <c r="I30" s="68">
        <v>45805</v>
      </c>
      <c r="J30" s="57">
        <v>1378</v>
      </c>
      <c r="K30" s="68">
        <v>45836</v>
      </c>
      <c r="L30" s="57">
        <v>2762</v>
      </c>
      <c r="M30" s="68">
        <v>45866</v>
      </c>
      <c r="N30" s="57">
        <v>96</v>
      </c>
      <c r="O30" s="68">
        <v>45897</v>
      </c>
      <c r="P30" s="57">
        <v>277</v>
      </c>
      <c r="Q30" s="68">
        <v>45928</v>
      </c>
      <c r="R30" s="57">
        <v>3540</v>
      </c>
      <c r="S30" s="68">
        <v>45958</v>
      </c>
      <c r="T30" s="57">
        <v>383</v>
      </c>
      <c r="U30" s="70">
        <v>45989</v>
      </c>
      <c r="V30" s="60">
        <v>343</v>
      </c>
      <c r="W30" s="71">
        <v>46019</v>
      </c>
      <c r="X30" s="53">
        <v>5178</v>
      </c>
    </row>
    <row r="31" spans="1:24" ht="15.5" x14ac:dyDescent="0.35">
      <c r="A31" s="67">
        <v>45686</v>
      </c>
      <c r="B31" s="56">
        <v>2448</v>
      </c>
      <c r="C31" s="65"/>
      <c r="D31" s="65"/>
      <c r="E31" s="69">
        <v>45745</v>
      </c>
      <c r="F31" s="58"/>
      <c r="G31" s="69">
        <v>45776</v>
      </c>
      <c r="H31" s="57">
        <v>157</v>
      </c>
      <c r="I31" s="68">
        <v>45806</v>
      </c>
      <c r="J31" s="57">
        <v>2378</v>
      </c>
      <c r="K31" s="68">
        <v>45837</v>
      </c>
      <c r="L31" s="57">
        <v>5082</v>
      </c>
      <c r="M31" s="68">
        <v>45867</v>
      </c>
      <c r="N31" s="57">
        <v>56</v>
      </c>
      <c r="O31" s="68">
        <v>45898</v>
      </c>
      <c r="P31" s="57">
        <v>110</v>
      </c>
      <c r="Q31" s="68">
        <v>45929</v>
      </c>
      <c r="R31" s="57">
        <v>377</v>
      </c>
      <c r="S31" s="68">
        <v>45959</v>
      </c>
      <c r="T31" s="57">
        <v>84</v>
      </c>
      <c r="U31" s="70">
        <v>45990</v>
      </c>
      <c r="V31" s="60">
        <v>677</v>
      </c>
      <c r="W31" s="71">
        <v>46020</v>
      </c>
      <c r="X31" s="53">
        <v>2470</v>
      </c>
    </row>
    <row r="32" spans="1:24" ht="15.5" x14ac:dyDescent="0.35">
      <c r="A32" s="67">
        <v>45687</v>
      </c>
      <c r="B32" s="56">
        <v>293</v>
      </c>
      <c r="C32" s="65"/>
      <c r="D32" s="65"/>
      <c r="E32" s="69">
        <v>45746</v>
      </c>
      <c r="F32" s="58"/>
      <c r="G32" s="69">
        <v>45777</v>
      </c>
      <c r="H32" s="57">
        <v>920</v>
      </c>
      <c r="I32" s="68">
        <v>45807</v>
      </c>
      <c r="J32" s="57">
        <v>541</v>
      </c>
      <c r="K32" s="68">
        <v>45838</v>
      </c>
      <c r="L32" s="57">
        <v>1398</v>
      </c>
      <c r="M32" s="68">
        <v>45868</v>
      </c>
      <c r="N32" s="57">
        <v>87</v>
      </c>
      <c r="O32" s="68">
        <v>45899</v>
      </c>
      <c r="P32" s="57">
        <v>450</v>
      </c>
      <c r="Q32" s="68">
        <v>45930</v>
      </c>
      <c r="R32" s="57">
        <v>235</v>
      </c>
      <c r="S32" s="68">
        <v>45960</v>
      </c>
      <c r="T32" s="57">
        <v>230</v>
      </c>
      <c r="U32" s="70">
        <v>45991</v>
      </c>
      <c r="V32" s="60">
        <v>3535</v>
      </c>
      <c r="W32" s="72">
        <v>46021</v>
      </c>
      <c r="X32" s="54">
        <v>2171</v>
      </c>
    </row>
    <row r="33" spans="1:24" ht="15.5" x14ac:dyDescent="0.35">
      <c r="A33" s="67">
        <v>45688</v>
      </c>
      <c r="B33" s="56">
        <v>310</v>
      </c>
      <c r="C33" s="65"/>
      <c r="D33" s="65"/>
      <c r="E33" s="69">
        <v>45747</v>
      </c>
      <c r="F33" s="58"/>
      <c r="G33" s="65"/>
      <c r="H33" s="65"/>
      <c r="I33" s="68">
        <v>45808</v>
      </c>
      <c r="J33" s="57">
        <v>980</v>
      </c>
      <c r="K33" s="65"/>
      <c r="L33" s="65"/>
      <c r="M33" s="68">
        <v>45869</v>
      </c>
      <c r="N33" s="57">
        <v>341</v>
      </c>
      <c r="O33" s="68">
        <v>45900</v>
      </c>
      <c r="P33" s="57">
        <v>3102</v>
      </c>
      <c r="Q33" s="65"/>
      <c r="R33" s="65"/>
      <c r="S33" s="68">
        <v>45961</v>
      </c>
      <c r="T33" s="66">
        <v>566</v>
      </c>
      <c r="U33" s="65"/>
      <c r="V33" s="65"/>
      <c r="W33" s="73">
        <v>46022</v>
      </c>
      <c r="X33" s="55">
        <v>1749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my office</cp:lastModifiedBy>
  <dcterms:created xsi:type="dcterms:W3CDTF">2026-01-30T03:44:48Z</dcterms:created>
  <dcterms:modified xsi:type="dcterms:W3CDTF">2026-04-12T14:35:01Z</dcterms:modified>
</cp:coreProperties>
</file>